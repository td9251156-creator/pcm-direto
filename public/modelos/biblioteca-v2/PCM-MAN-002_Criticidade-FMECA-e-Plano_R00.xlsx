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ag\Downloads\Templaates\Saidas\Biblioteca-PCM-v2\"/>
    </mc:Choice>
  </mc:AlternateContent>
  <xr:revisionPtr revIDLastSave="0" documentId="13_ncr:1_{30DBF904-2455-407D-BB32-EB8B7595C3E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eia-me" sheetId="1" r:id="rId1"/>
    <sheet name="Criticidade" sheetId="2" r:id="rId2"/>
    <sheet name="FMECA" sheetId="3" r:id="rId3"/>
    <sheet name="Plano" sheetId="4" r:id="rId4"/>
    <sheet name="Cronograma" sheetId="5" r:id="rId5"/>
    <sheet name="Cadastros" sheetId="6" r:id="rId6"/>
    <sheet name="Revisões" sheetId="7" r:id="rId7"/>
  </sheets>
  <definedNames>
    <definedName name="_xlnm.Print_Area" localSheetId="5">Cadastros!$A$1:$J$30</definedName>
    <definedName name="_xlnm.Print_Area" localSheetId="1">Criticidade!$A$1:$X$28</definedName>
    <definedName name="_xlnm.Print_Area" localSheetId="4">Cronograma!$A$1:$BM$35</definedName>
    <definedName name="_xlnm.Print_Area" localSheetId="2">FMECA!$A$1:$V$23</definedName>
    <definedName name="_xlnm.Print_Area" localSheetId="0">'Leia-me'!$A$1:$G$33</definedName>
    <definedName name="_xlnm.Print_Area" localSheetId="3">Plano!$A$1:$L$31</definedName>
    <definedName name="_xlnm.Print_Area" localSheetId="6">Revisões!$A$1:$E$30</definedName>
    <definedName name="L_FAMILIAS">tb_pcm_familias[nome_familia]</definedName>
    <definedName name="L_PESSOAS">tb_pcm_pessoas[nome_pessoa]</definedName>
    <definedName name="L_SETORES">tb_pcm_setores[nome_setor]</definedName>
    <definedName name="L_TAGS">tb_pcm_ativos[tag]</definedName>
    <definedName name="_xlnm.Print_Titles" localSheetId="5">Cadastros!$1:$3</definedName>
    <definedName name="_xlnm.Print_Titles" localSheetId="6">Revisões!$1:$3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7" l="1"/>
  <c r="H2" i="6"/>
  <c r="E33" i="5"/>
  <c r="D33" i="5"/>
  <c r="B33" i="5"/>
  <c r="C33" i="5" s="1"/>
  <c r="A33" i="5"/>
  <c r="E32" i="5"/>
  <c r="D32" i="5"/>
  <c r="C32" i="5"/>
  <c r="B32" i="5"/>
  <c r="A32" i="5"/>
  <c r="E31" i="5"/>
  <c r="D31" i="5"/>
  <c r="C31" i="5"/>
  <c r="B31" i="5"/>
  <c r="A31" i="5"/>
  <c r="E30" i="5"/>
  <c r="D30" i="5"/>
  <c r="C30" i="5"/>
  <c r="B30" i="5"/>
  <c r="A30" i="5"/>
  <c r="E29" i="5"/>
  <c r="D29" i="5"/>
  <c r="C29" i="5"/>
  <c r="B29" i="5"/>
  <c r="A29" i="5"/>
  <c r="E28" i="5"/>
  <c r="D28" i="5"/>
  <c r="B28" i="5"/>
  <c r="C28" i="5" s="1"/>
  <c r="A28" i="5"/>
  <c r="E27" i="5"/>
  <c r="D27" i="5"/>
  <c r="B27" i="5"/>
  <c r="C27" i="5" s="1"/>
  <c r="A27" i="5"/>
  <c r="E26" i="5"/>
  <c r="D26" i="5"/>
  <c r="B26" i="5"/>
  <c r="C26" i="5" s="1"/>
  <c r="A26" i="5"/>
  <c r="E25" i="5"/>
  <c r="D25" i="5"/>
  <c r="C25" i="5"/>
  <c r="B25" i="5"/>
  <c r="A25" i="5"/>
  <c r="E24" i="5"/>
  <c r="D24" i="5"/>
  <c r="B24" i="5"/>
  <c r="C24" i="5" s="1"/>
  <c r="A24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BM5" i="5"/>
  <c r="BL5" i="5"/>
  <c r="BL14" i="5" s="1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D4" i="5"/>
  <c r="F4" i="5" s="1"/>
  <c r="AY2" i="5"/>
  <c r="L30" i="4"/>
  <c r="C30" i="4"/>
  <c r="L29" i="4"/>
  <c r="C29" i="4"/>
  <c r="L28" i="4"/>
  <c r="C28" i="4"/>
  <c r="L27" i="4"/>
  <c r="C27" i="4"/>
  <c r="L26" i="4"/>
  <c r="C26" i="4"/>
  <c r="L25" i="4"/>
  <c r="C25" i="4"/>
  <c r="L24" i="4"/>
  <c r="C24" i="4"/>
  <c r="L23" i="4"/>
  <c r="C23" i="4"/>
  <c r="L22" i="4"/>
  <c r="C22" i="4"/>
  <c r="L21" i="4"/>
  <c r="C21" i="4"/>
  <c r="H19" i="4"/>
  <c r="G19" i="4"/>
  <c r="E22" i="5" s="1"/>
  <c r="F19" i="4"/>
  <c r="E19" i="4"/>
  <c r="D22" i="5" s="1"/>
  <c r="D19" i="4"/>
  <c r="B19" i="4"/>
  <c r="L18" i="4"/>
  <c r="H18" i="4"/>
  <c r="G18" i="4"/>
  <c r="E21" i="5" s="1"/>
  <c r="F18" i="4"/>
  <c r="E18" i="4"/>
  <c r="D21" i="5" s="1"/>
  <c r="D18" i="4"/>
  <c r="B18" i="4"/>
  <c r="H17" i="4"/>
  <c r="G17" i="4"/>
  <c r="E20" i="5" s="1"/>
  <c r="F17" i="4"/>
  <c r="E17" i="4"/>
  <c r="D20" i="5" s="1"/>
  <c r="D17" i="4"/>
  <c r="B17" i="4"/>
  <c r="H16" i="4"/>
  <c r="G16" i="4"/>
  <c r="E19" i="5" s="1"/>
  <c r="F16" i="4"/>
  <c r="E16" i="4"/>
  <c r="D19" i="5" s="1"/>
  <c r="D16" i="4"/>
  <c r="B16" i="4"/>
  <c r="L15" i="4"/>
  <c r="H15" i="4"/>
  <c r="G15" i="4"/>
  <c r="E18" i="5" s="1"/>
  <c r="F15" i="4"/>
  <c r="E15" i="4"/>
  <c r="D18" i="5" s="1"/>
  <c r="D15" i="4"/>
  <c r="B15" i="4"/>
  <c r="H14" i="4"/>
  <c r="G14" i="4"/>
  <c r="E17" i="5" s="1"/>
  <c r="F14" i="4"/>
  <c r="E14" i="4"/>
  <c r="D17" i="5" s="1"/>
  <c r="D14" i="4"/>
  <c r="B14" i="4"/>
  <c r="H13" i="4"/>
  <c r="G13" i="4"/>
  <c r="E16" i="5" s="1"/>
  <c r="F13" i="4"/>
  <c r="E13" i="4"/>
  <c r="D16" i="5" s="1"/>
  <c r="D13" i="4"/>
  <c r="B13" i="4"/>
  <c r="H12" i="4"/>
  <c r="G12" i="4"/>
  <c r="E15" i="5" s="1"/>
  <c r="F12" i="4"/>
  <c r="E12" i="4"/>
  <c r="D15" i="5" s="1"/>
  <c r="D12" i="4"/>
  <c r="B12" i="4"/>
  <c r="H11" i="4"/>
  <c r="G11" i="4"/>
  <c r="E14" i="5" s="1"/>
  <c r="F11" i="4"/>
  <c r="E11" i="4"/>
  <c r="D14" i="5" s="1"/>
  <c r="D11" i="4"/>
  <c r="B11" i="4"/>
  <c r="L10" i="4"/>
  <c r="H10" i="4"/>
  <c r="G10" i="4"/>
  <c r="E13" i="5" s="1"/>
  <c r="F10" i="4"/>
  <c r="E10" i="4"/>
  <c r="D13" i="5" s="1"/>
  <c r="D10" i="4"/>
  <c r="B10" i="4"/>
  <c r="H9" i="4"/>
  <c r="G9" i="4"/>
  <c r="E12" i="5" s="1"/>
  <c r="F9" i="4"/>
  <c r="E9" i="4"/>
  <c r="D12" i="5" s="1"/>
  <c r="D9" i="4"/>
  <c r="B9" i="4"/>
  <c r="H8" i="4"/>
  <c r="G8" i="4"/>
  <c r="E11" i="5" s="1"/>
  <c r="F8" i="4"/>
  <c r="E8" i="4"/>
  <c r="D11" i="5" s="1"/>
  <c r="D8" i="4"/>
  <c r="B8" i="4"/>
  <c r="L7" i="4"/>
  <c r="H7" i="4"/>
  <c r="G7" i="4"/>
  <c r="E10" i="5" s="1"/>
  <c r="F7" i="4"/>
  <c r="E7" i="4"/>
  <c r="D10" i="5" s="1"/>
  <c r="D7" i="4"/>
  <c r="B7" i="4"/>
  <c r="H6" i="4"/>
  <c r="G6" i="4"/>
  <c r="E9" i="5" s="1"/>
  <c r="F6" i="4"/>
  <c r="E6" i="4"/>
  <c r="D9" i="5" s="1"/>
  <c r="D6" i="4"/>
  <c r="B6" i="4"/>
  <c r="H5" i="4"/>
  <c r="G5" i="4"/>
  <c r="E8" i="5" s="1"/>
  <c r="F5" i="4"/>
  <c r="E5" i="4"/>
  <c r="D8" i="5" s="1"/>
  <c r="D5" i="4"/>
  <c r="B5" i="4"/>
  <c r="B8" i="5" s="1"/>
  <c r="C8" i="5" s="1"/>
  <c r="I2" i="4"/>
  <c r="M22" i="3"/>
  <c r="D22" i="3"/>
  <c r="C22" i="3"/>
  <c r="M21" i="3"/>
  <c r="D21" i="3"/>
  <c r="C21" i="3"/>
  <c r="M20" i="3"/>
  <c r="D20" i="3"/>
  <c r="C20" i="3"/>
  <c r="M19" i="3"/>
  <c r="D19" i="3"/>
  <c r="C19" i="3"/>
  <c r="M18" i="3"/>
  <c r="D18" i="3"/>
  <c r="C18" i="3"/>
  <c r="M17" i="3"/>
  <c r="D17" i="3"/>
  <c r="C17" i="3"/>
  <c r="M16" i="3"/>
  <c r="D16" i="3"/>
  <c r="C16" i="3"/>
  <c r="M15" i="3"/>
  <c r="D15" i="3"/>
  <c r="C15" i="3"/>
  <c r="M14" i="3"/>
  <c r="D14" i="3"/>
  <c r="C14" i="3"/>
  <c r="M13" i="3"/>
  <c r="D13" i="3"/>
  <c r="C13" i="3"/>
  <c r="M12" i="3"/>
  <c r="D12" i="3"/>
  <c r="C12" i="3"/>
  <c r="M11" i="3"/>
  <c r="D11" i="3"/>
  <c r="C11" i="3"/>
  <c r="M10" i="3"/>
  <c r="D10" i="3"/>
  <c r="C10" i="3"/>
  <c r="M9" i="3"/>
  <c r="D9" i="3"/>
  <c r="C9" i="3"/>
  <c r="M8" i="3"/>
  <c r="O4" i="3" s="1"/>
  <c r="D8" i="3"/>
  <c r="C8" i="3"/>
  <c r="N2" i="3"/>
  <c r="K27" i="2"/>
  <c r="J27" i="2"/>
  <c r="H27" i="2"/>
  <c r="D27" i="2"/>
  <c r="C27" i="2"/>
  <c r="H26" i="2"/>
  <c r="J26" i="2" s="1"/>
  <c r="K26" i="2" s="1"/>
  <c r="D26" i="2"/>
  <c r="C26" i="2"/>
  <c r="H25" i="2"/>
  <c r="J25" i="2" s="1"/>
  <c r="K25" i="2" s="1"/>
  <c r="D25" i="2"/>
  <c r="C25" i="2"/>
  <c r="J24" i="2"/>
  <c r="K24" i="2" s="1"/>
  <c r="H24" i="2"/>
  <c r="D24" i="2"/>
  <c r="C24" i="2"/>
  <c r="K23" i="2"/>
  <c r="J23" i="2"/>
  <c r="H23" i="2"/>
  <c r="D23" i="2"/>
  <c r="C23" i="2"/>
  <c r="H22" i="2"/>
  <c r="J22" i="2" s="1"/>
  <c r="K22" i="2" s="1"/>
  <c r="D22" i="2"/>
  <c r="C22" i="2"/>
  <c r="H21" i="2"/>
  <c r="J21" i="2" s="1"/>
  <c r="K21" i="2" s="1"/>
  <c r="D21" i="2"/>
  <c r="C21" i="2"/>
  <c r="J20" i="2"/>
  <c r="K20" i="2" s="1"/>
  <c r="H20" i="2"/>
  <c r="D20" i="2"/>
  <c r="C20" i="2"/>
  <c r="K19" i="2"/>
  <c r="J19" i="2"/>
  <c r="H19" i="2"/>
  <c r="D19" i="2"/>
  <c r="C19" i="2"/>
  <c r="H18" i="2"/>
  <c r="J18" i="2" s="1"/>
  <c r="K18" i="2" s="1"/>
  <c r="D18" i="2"/>
  <c r="C18" i="2"/>
  <c r="H17" i="2"/>
  <c r="J17" i="2" s="1"/>
  <c r="K17" i="2" s="1"/>
  <c r="D17" i="2"/>
  <c r="C17" i="2"/>
  <c r="J16" i="2"/>
  <c r="K16" i="2" s="1"/>
  <c r="H16" i="2"/>
  <c r="D16" i="2"/>
  <c r="C16" i="2"/>
  <c r="K15" i="2"/>
  <c r="J15" i="2"/>
  <c r="H15" i="2"/>
  <c r="D15" i="2"/>
  <c r="C15" i="2"/>
  <c r="H14" i="2"/>
  <c r="J14" i="2" s="1"/>
  <c r="K14" i="2" s="1"/>
  <c r="D14" i="2"/>
  <c r="C14" i="2"/>
  <c r="H13" i="2"/>
  <c r="J13" i="2" s="1"/>
  <c r="K13" i="2" s="1"/>
  <c r="D13" i="2"/>
  <c r="C13" i="2"/>
  <c r="H12" i="2"/>
  <c r="J12" i="2" s="1"/>
  <c r="K12" i="2" s="1"/>
  <c r="D12" i="2"/>
  <c r="C12" i="2"/>
  <c r="H11" i="2"/>
  <c r="J11" i="2" s="1"/>
  <c r="K11" i="2" s="1"/>
  <c r="D11" i="2"/>
  <c r="C11" i="2"/>
  <c r="H10" i="2"/>
  <c r="J10" i="2" s="1"/>
  <c r="K10" i="2" s="1"/>
  <c r="D10" i="2"/>
  <c r="C10" i="2"/>
  <c r="H9" i="2"/>
  <c r="Q12" i="2" s="1"/>
  <c r="D9" i="2"/>
  <c r="C9" i="2"/>
  <c r="H8" i="2"/>
  <c r="P12" i="2" s="1"/>
  <c r="D8" i="2"/>
  <c r="C8" i="2"/>
  <c r="O2" i="2"/>
  <c r="E2" i="2"/>
  <c r="O1" i="2"/>
  <c r="E1" i="2"/>
  <c r="D16" i="1"/>
  <c r="D15" i="1"/>
  <c r="L6" i="4" l="1"/>
  <c r="L14" i="4"/>
  <c r="K4" i="3"/>
  <c r="L11" i="4"/>
  <c r="L19" i="4"/>
  <c r="BM14" i="5"/>
  <c r="L5" i="4"/>
  <c r="L9" i="4"/>
  <c r="L13" i="4"/>
  <c r="L17" i="4"/>
  <c r="I14" i="5"/>
  <c r="M16" i="5"/>
  <c r="Q14" i="5"/>
  <c r="U14" i="5"/>
  <c r="Y14" i="5"/>
  <c r="AC16" i="5"/>
  <c r="AG14" i="5"/>
  <c r="AK14" i="5"/>
  <c r="AO14" i="5"/>
  <c r="AS16" i="5"/>
  <c r="AW14" i="5"/>
  <c r="BA14" i="5"/>
  <c r="BE15" i="5"/>
  <c r="BI16" i="5"/>
  <c r="L8" i="4"/>
  <c r="L12" i="4"/>
  <c r="L16" i="4"/>
  <c r="BK14" i="5"/>
  <c r="Q8" i="2"/>
  <c r="O11" i="2"/>
  <c r="B9" i="5"/>
  <c r="C9" i="5" s="1"/>
  <c r="C6" i="4"/>
  <c r="L33" i="5"/>
  <c r="L32" i="5"/>
  <c r="L28" i="5"/>
  <c r="L30" i="5"/>
  <c r="L27" i="5"/>
  <c r="L31" i="5"/>
  <c r="L29" i="5"/>
  <c r="L22" i="5"/>
  <c r="L26" i="5"/>
  <c r="L25" i="5"/>
  <c r="L24" i="5"/>
  <c r="L19" i="5"/>
  <c r="L18" i="5"/>
  <c r="L21" i="5"/>
  <c r="L20" i="5"/>
  <c r="L12" i="5"/>
  <c r="L8" i="5"/>
  <c r="L17" i="5"/>
  <c r="L15" i="5"/>
  <c r="L11" i="5"/>
  <c r="L16" i="5"/>
  <c r="L14" i="5"/>
  <c r="L10" i="5"/>
  <c r="L13" i="5"/>
  <c r="L9" i="5"/>
  <c r="X33" i="5"/>
  <c r="X32" i="5"/>
  <c r="X30" i="5"/>
  <c r="X28" i="5"/>
  <c r="X31" i="5"/>
  <c r="X27" i="5"/>
  <c r="X29" i="5"/>
  <c r="X22" i="5"/>
  <c r="X26" i="5"/>
  <c r="X25" i="5"/>
  <c r="X24" i="5"/>
  <c r="X19" i="5"/>
  <c r="X18" i="5"/>
  <c r="X21" i="5"/>
  <c r="X20" i="5"/>
  <c r="X12" i="5"/>
  <c r="X8" i="5"/>
  <c r="X16" i="5"/>
  <c r="X15" i="5"/>
  <c r="X11" i="5"/>
  <c r="X14" i="5"/>
  <c r="X10" i="5"/>
  <c r="X17" i="5"/>
  <c r="X13" i="5"/>
  <c r="X9" i="5"/>
  <c r="AF33" i="5"/>
  <c r="AF32" i="5"/>
  <c r="AF29" i="5"/>
  <c r="AF28" i="5"/>
  <c r="AF31" i="5"/>
  <c r="AF27" i="5"/>
  <c r="AF30" i="5"/>
  <c r="AF22" i="5"/>
  <c r="AF26" i="5"/>
  <c r="AF25" i="5"/>
  <c r="AF24" i="5"/>
  <c r="AF19" i="5"/>
  <c r="AF21" i="5"/>
  <c r="AF18" i="5"/>
  <c r="AF20" i="5"/>
  <c r="AF12" i="5"/>
  <c r="AF8" i="5"/>
  <c r="AF15" i="5"/>
  <c r="AF11" i="5"/>
  <c r="AF14" i="5"/>
  <c r="AF10" i="5"/>
  <c r="AF17" i="5"/>
  <c r="AF16" i="5"/>
  <c r="AF13" i="5"/>
  <c r="AF9" i="5"/>
  <c r="AN33" i="5"/>
  <c r="AN32" i="5"/>
  <c r="AN28" i="5"/>
  <c r="AN31" i="5"/>
  <c r="AN30" i="5"/>
  <c r="AN27" i="5"/>
  <c r="AN29" i="5"/>
  <c r="AN22" i="5"/>
  <c r="AN26" i="5"/>
  <c r="AN25" i="5"/>
  <c r="AN24" i="5"/>
  <c r="AN19" i="5"/>
  <c r="AN18" i="5"/>
  <c r="AN21" i="5"/>
  <c r="AN20" i="5"/>
  <c r="AN12" i="5"/>
  <c r="AN8" i="5"/>
  <c r="AN17" i="5"/>
  <c r="AN16" i="5"/>
  <c r="AN15" i="5"/>
  <c r="AN11" i="5"/>
  <c r="AN7" i="5"/>
  <c r="AN14" i="5"/>
  <c r="AN10" i="5"/>
  <c r="AN13" i="5"/>
  <c r="AN9" i="5"/>
  <c r="AV33" i="5"/>
  <c r="AV32" i="5"/>
  <c r="AV29" i="5"/>
  <c r="AV28" i="5"/>
  <c r="AV31" i="5"/>
  <c r="AV30" i="5"/>
  <c r="AV27" i="5"/>
  <c r="AV22" i="5"/>
  <c r="AV26" i="5"/>
  <c r="AV25" i="5"/>
  <c r="AV24" i="5"/>
  <c r="AV19" i="5"/>
  <c r="AV21" i="5"/>
  <c r="AV18" i="5"/>
  <c r="AV20" i="5"/>
  <c r="AV12" i="5"/>
  <c r="AV8" i="5"/>
  <c r="AV15" i="5"/>
  <c r="AV11" i="5"/>
  <c r="AV14" i="5"/>
  <c r="AV10" i="5"/>
  <c r="AV17" i="5"/>
  <c r="AV16" i="5"/>
  <c r="AV13" i="5"/>
  <c r="AV9" i="5"/>
  <c r="BD33" i="5"/>
  <c r="BD32" i="5"/>
  <c r="BD28" i="5"/>
  <c r="BD31" i="5"/>
  <c r="BD30" i="5"/>
  <c r="BD27" i="5"/>
  <c r="BD29" i="5"/>
  <c r="BD22" i="5"/>
  <c r="BD26" i="5"/>
  <c r="BD25" i="5"/>
  <c r="BD24" i="5"/>
  <c r="BD19" i="5"/>
  <c r="BD15" i="5"/>
  <c r="BD18" i="5"/>
  <c r="BD21" i="5"/>
  <c r="BD20" i="5"/>
  <c r="BD12" i="5"/>
  <c r="BD8" i="5"/>
  <c r="BD17" i="5"/>
  <c r="BD16" i="5"/>
  <c r="BD11" i="5"/>
  <c r="BD14" i="5"/>
  <c r="BD10" i="5"/>
  <c r="BD13" i="5"/>
  <c r="BD9" i="5"/>
  <c r="D1" i="7"/>
  <c r="H1" i="6"/>
  <c r="N8" i="2"/>
  <c r="R8" i="2"/>
  <c r="J9" i="2"/>
  <c r="K9" i="2" s="1"/>
  <c r="P9" i="2"/>
  <c r="N10" i="2"/>
  <c r="R10" i="2"/>
  <c r="P11" i="2"/>
  <c r="N12" i="2"/>
  <c r="R12" i="2"/>
  <c r="N1" i="3"/>
  <c r="C5" i="4"/>
  <c r="B12" i="5"/>
  <c r="C12" i="5" s="1"/>
  <c r="C9" i="4"/>
  <c r="B16" i="5"/>
  <c r="C16" i="5" s="1"/>
  <c r="C13" i="4"/>
  <c r="B20" i="5"/>
  <c r="C20" i="5" s="1"/>
  <c r="C17" i="4"/>
  <c r="O9" i="2"/>
  <c r="B17" i="5"/>
  <c r="C17" i="5" s="1"/>
  <c r="C14" i="4"/>
  <c r="T33" i="5"/>
  <c r="T32" i="5"/>
  <c r="T28" i="5"/>
  <c r="T27" i="5"/>
  <c r="T31" i="5"/>
  <c r="T30" i="5"/>
  <c r="T29" i="5"/>
  <c r="T22" i="5"/>
  <c r="T26" i="5"/>
  <c r="T25" i="5"/>
  <c r="T24" i="5"/>
  <c r="T19" i="5"/>
  <c r="T18" i="5"/>
  <c r="T21" i="5"/>
  <c r="T20" i="5"/>
  <c r="T16" i="5"/>
  <c r="T12" i="5"/>
  <c r="T8" i="5"/>
  <c r="T17" i="5"/>
  <c r="T15" i="5"/>
  <c r="T11" i="5"/>
  <c r="T7" i="5"/>
  <c r="T14" i="5"/>
  <c r="T10" i="5"/>
  <c r="T13" i="5"/>
  <c r="T9" i="5"/>
  <c r="O10" i="2"/>
  <c r="O12" i="2"/>
  <c r="I1" i="4"/>
  <c r="B11" i="5"/>
  <c r="C11" i="5" s="1"/>
  <c r="C8" i="4"/>
  <c r="B15" i="5"/>
  <c r="C15" i="5" s="1"/>
  <c r="C12" i="4"/>
  <c r="B19" i="5"/>
  <c r="C19" i="5" s="1"/>
  <c r="C16" i="4"/>
  <c r="AY1" i="5"/>
  <c r="Q10" i="2"/>
  <c r="B13" i="5"/>
  <c r="C13" i="5" s="1"/>
  <c r="C10" i="4"/>
  <c r="B21" i="5"/>
  <c r="C21" i="5" s="1"/>
  <c r="C18" i="4"/>
  <c r="H33" i="5"/>
  <c r="H32" i="5"/>
  <c r="H30" i="5"/>
  <c r="H28" i="5"/>
  <c r="H31" i="5"/>
  <c r="H27" i="5"/>
  <c r="H29" i="5"/>
  <c r="H22" i="5"/>
  <c r="H26" i="5"/>
  <c r="H25" i="5"/>
  <c r="H24" i="5"/>
  <c r="H19" i="5"/>
  <c r="H18" i="5"/>
  <c r="H21" i="5"/>
  <c r="H20" i="5"/>
  <c r="H17" i="5"/>
  <c r="H12" i="5"/>
  <c r="H8" i="5"/>
  <c r="H16" i="5"/>
  <c r="H15" i="5"/>
  <c r="H11" i="5"/>
  <c r="H14" i="5"/>
  <c r="H10" i="5"/>
  <c r="H13" i="5"/>
  <c r="H9" i="5"/>
  <c r="P33" i="5"/>
  <c r="P32" i="5"/>
  <c r="P28" i="5"/>
  <c r="P31" i="5"/>
  <c r="P27" i="5"/>
  <c r="P30" i="5"/>
  <c r="P29" i="5"/>
  <c r="P22" i="5"/>
  <c r="P26" i="5"/>
  <c r="P25" i="5"/>
  <c r="P24" i="5"/>
  <c r="P19" i="5"/>
  <c r="P18" i="5"/>
  <c r="P21" i="5"/>
  <c r="P20" i="5"/>
  <c r="P12" i="5"/>
  <c r="P8" i="5"/>
  <c r="P15" i="5"/>
  <c r="P11" i="5"/>
  <c r="P14" i="5"/>
  <c r="P10" i="5"/>
  <c r="P17" i="5"/>
  <c r="P16" i="5"/>
  <c r="P13" i="5"/>
  <c r="P9" i="5"/>
  <c r="AB33" i="5"/>
  <c r="AB32" i="5"/>
  <c r="AB28" i="5"/>
  <c r="AB30" i="5"/>
  <c r="AB27" i="5"/>
  <c r="AB31" i="5"/>
  <c r="AB29" i="5"/>
  <c r="AB22" i="5"/>
  <c r="AB26" i="5"/>
  <c r="AB25" i="5"/>
  <c r="AB24" i="5"/>
  <c r="AB21" i="5"/>
  <c r="AB19" i="5"/>
  <c r="AB18" i="5"/>
  <c r="AB20" i="5"/>
  <c r="AB12" i="5"/>
  <c r="AB8" i="5"/>
  <c r="AB17" i="5"/>
  <c r="AB15" i="5"/>
  <c r="AB11" i="5"/>
  <c r="AB16" i="5"/>
  <c r="AB14" i="5"/>
  <c r="AB10" i="5"/>
  <c r="AB13" i="5"/>
  <c r="AB9" i="5"/>
  <c r="AJ33" i="5"/>
  <c r="AJ32" i="5"/>
  <c r="AJ28" i="5"/>
  <c r="AJ29" i="5"/>
  <c r="AJ27" i="5"/>
  <c r="AJ31" i="5"/>
  <c r="AJ30" i="5"/>
  <c r="AJ22" i="5"/>
  <c r="AJ26" i="5"/>
  <c r="AJ25" i="5"/>
  <c r="AJ24" i="5"/>
  <c r="AJ19" i="5"/>
  <c r="AJ18" i="5"/>
  <c r="AJ21" i="5"/>
  <c r="AJ20" i="5"/>
  <c r="AJ16" i="5"/>
  <c r="AJ12" i="5"/>
  <c r="AJ8" i="5"/>
  <c r="AJ15" i="5"/>
  <c r="AJ11" i="5"/>
  <c r="AJ17" i="5"/>
  <c r="AJ14" i="5"/>
  <c r="AJ10" i="5"/>
  <c r="AJ13" i="5"/>
  <c r="AJ9" i="5"/>
  <c r="AR33" i="5"/>
  <c r="AR32" i="5"/>
  <c r="AR28" i="5"/>
  <c r="AR27" i="5"/>
  <c r="AR31" i="5"/>
  <c r="AR30" i="5"/>
  <c r="AR29" i="5"/>
  <c r="AR22" i="5"/>
  <c r="AR26" i="5"/>
  <c r="AR25" i="5"/>
  <c r="AR24" i="5"/>
  <c r="AR21" i="5"/>
  <c r="AR19" i="5"/>
  <c r="AR18" i="5"/>
  <c r="AR20" i="5"/>
  <c r="AR17" i="5"/>
  <c r="AR12" i="5"/>
  <c r="AR8" i="5"/>
  <c r="AR15" i="5"/>
  <c r="AR11" i="5"/>
  <c r="AR16" i="5"/>
  <c r="AR14" i="5"/>
  <c r="AR10" i="5"/>
  <c r="AR13" i="5"/>
  <c r="AR9" i="5"/>
  <c r="AZ33" i="5"/>
  <c r="AZ32" i="5"/>
  <c r="AZ28" i="5"/>
  <c r="AZ29" i="5"/>
  <c r="AZ27" i="5"/>
  <c r="AZ31" i="5"/>
  <c r="AZ30" i="5"/>
  <c r="AZ22" i="5"/>
  <c r="AZ26" i="5"/>
  <c r="AZ25" i="5"/>
  <c r="AZ24" i="5"/>
  <c r="AZ19" i="5"/>
  <c r="AZ18" i="5"/>
  <c r="AZ21" i="5"/>
  <c r="AZ20" i="5"/>
  <c r="AZ16" i="5"/>
  <c r="AZ12" i="5"/>
  <c r="AZ8" i="5"/>
  <c r="AZ15" i="5"/>
  <c r="AZ11" i="5"/>
  <c r="AZ17" i="5"/>
  <c r="AZ14" i="5"/>
  <c r="AZ10" i="5"/>
  <c r="AZ13" i="5"/>
  <c r="AZ9" i="5"/>
  <c r="BH33" i="5"/>
  <c r="BH32" i="5"/>
  <c r="BH28" i="5"/>
  <c r="BH27" i="5"/>
  <c r="BH31" i="5"/>
  <c r="BH30" i="5"/>
  <c r="BH29" i="5"/>
  <c r="BH22" i="5"/>
  <c r="BH26" i="5"/>
  <c r="BH25" i="5"/>
  <c r="BH24" i="5"/>
  <c r="BH21" i="5"/>
  <c r="BH19" i="5"/>
  <c r="BH15" i="5"/>
  <c r="BH18" i="5"/>
  <c r="BH20" i="5"/>
  <c r="BH17" i="5"/>
  <c r="BH12" i="5"/>
  <c r="BH8" i="5"/>
  <c r="BH11" i="5"/>
  <c r="BH7" i="5"/>
  <c r="BH16" i="5"/>
  <c r="BH14" i="5"/>
  <c r="BH10" i="5"/>
  <c r="BH13" i="5"/>
  <c r="BH9" i="5"/>
  <c r="O8" i="2"/>
  <c r="Q9" i="2"/>
  <c r="Q11" i="2"/>
  <c r="J8" i="2"/>
  <c r="P8" i="2"/>
  <c r="N9" i="2"/>
  <c r="R9" i="2"/>
  <c r="P10" i="2"/>
  <c r="N11" i="2"/>
  <c r="R11" i="2"/>
  <c r="B10" i="5"/>
  <c r="C10" i="5" s="1"/>
  <c r="C7" i="4"/>
  <c r="B14" i="5"/>
  <c r="C14" i="5" s="1"/>
  <c r="C11" i="4"/>
  <c r="B18" i="5"/>
  <c r="C18" i="5" s="1"/>
  <c r="C15" i="4"/>
  <c r="B22" i="5"/>
  <c r="C22" i="5" s="1"/>
  <c r="C19" i="4"/>
  <c r="G33" i="5"/>
  <c r="G29" i="5"/>
  <c r="G30" i="5"/>
  <c r="G28" i="5"/>
  <c r="G32" i="5"/>
  <c r="G31" i="5"/>
  <c r="G24" i="5"/>
  <c r="G27" i="5"/>
  <c r="G26" i="5"/>
  <c r="G25" i="5"/>
  <c r="G20" i="5"/>
  <c r="G16" i="5"/>
  <c r="G19" i="5"/>
  <c r="G22" i="5"/>
  <c r="G21" i="5"/>
  <c r="G18" i="5"/>
  <c r="G13" i="5"/>
  <c r="G9" i="5"/>
  <c r="G17" i="5"/>
  <c r="G12" i="5"/>
  <c r="G8" i="5"/>
  <c r="G15" i="5"/>
  <c r="G11" i="5"/>
  <c r="G14" i="5"/>
  <c r="G10" i="5"/>
  <c r="K33" i="5"/>
  <c r="K32" i="5"/>
  <c r="K31" i="5"/>
  <c r="K29" i="5"/>
  <c r="K28" i="5"/>
  <c r="K30" i="5"/>
  <c r="K24" i="5"/>
  <c r="K26" i="5"/>
  <c r="K27" i="5"/>
  <c r="K25" i="5"/>
  <c r="K22" i="5"/>
  <c r="K20" i="5"/>
  <c r="K16" i="5"/>
  <c r="K19" i="5"/>
  <c r="K21" i="5"/>
  <c r="K13" i="5"/>
  <c r="K9" i="5"/>
  <c r="K12" i="5"/>
  <c r="K8" i="5"/>
  <c r="K17" i="5"/>
  <c r="K15" i="5"/>
  <c r="K11" i="5"/>
  <c r="K18" i="5"/>
  <c r="K14" i="5"/>
  <c r="K10" i="5"/>
  <c r="O33" i="5"/>
  <c r="O29" i="5"/>
  <c r="O28" i="5"/>
  <c r="O32" i="5"/>
  <c r="O31" i="5"/>
  <c r="O30" i="5"/>
  <c r="O27" i="5"/>
  <c r="O24" i="5"/>
  <c r="O26" i="5"/>
  <c r="O25" i="5"/>
  <c r="O20" i="5"/>
  <c r="O16" i="5"/>
  <c r="O22" i="5"/>
  <c r="O19" i="5"/>
  <c r="O18" i="5"/>
  <c r="O21" i="5"/>
  <c r="O17" i="5"/>
  <c r="O13" i="5"/>
  <c r="O9" i="5"/>
  <c r="O12" i="5"/>
  <c r="O8" i="5"/>
  <c r="O15" i="5"/>
  <c r="O11" i="5"/>
  <c r="O7" i="5"/>
  <c r="O14" i="5"/>
  <c r="O10" i="5"/>
  <c r="S33" i="5"/>
  <c r="S32" i="5"/>
  <c r="S31" i="5"/>
  <c r="S30" i="5"/>
  <c r="S29" i="5"/>
  <c r="S28" i="5"/>
  <c r="S24" i="5"/>
  <c r="S27" i="5"/>
  <c r="S26" i="5"/>
  <c r="S25" i="5"/>
  <c r="S20" i="5"/>
  <c r="S16" i="5"/>
  <c r="S19" i="5"/>
  <c r="S22" i="5"/>
  <c r="S18" i="5"/>
  <c r="S21" i="5"/>
  <c r="S17" i="5"/>
  <c r="S13" i="5"/>
  <c r="S9" i="5"/>
  <c r="S12" i="5"/>
  <c r="S8" i="5"/>
  <c r="S15" i="5"/>
  <c r="S11" i="5"/>
  <c r="S14" i="5"/>
  <c r="S10" i="5"/>
  <c r="W33" i="5"/>
  <c r="W29" i="5"/>
  <c r="W30" i="5"/>
  <c r="W28" i="5"/>
  <c r="W32" i="5"/>
  <c r="W31" i="5"/>
  <c r="W24" i="5"/>
  <c r="W27" i="5"/>
  <c r="W26" i="5"/>
  <c r="W25" i="5"/>
  <c r="W21" i="5"/>
  <c r="W20" i="5"/>
  <c r="W16" i="5"/>
  <c r="W19" i="5"/>
  <c r="W18" i="5"/>
  <c r="W22" i="5"/>
  <c r="W17" i="5"/>
  <c r="W13" i="5"/>
  <c r="W9" i="5"/>
  <c r="W12" i="5"/>
  <c r="W8" i="5"/>
  <c r="W15" i="5"/>
  <c r="W11" i="5"/>
  <c r="W14" i="5"/>
  <c r="W10" i="5"/>
  <c r="AA33" i="5"/>
  <c r="AA32" i="5"/>
  <c r="AA31" i="5"/>
  <c r="AA29" i="5"/>
  <c r="AA28" i="5"/>
  <c r="AA30" i="5"/>
  <c r="AA24" i="5"/>
  <c r="AA26" i="5"/>
  <c r="AA27" i="5"/>
  <c r="AA25" i="5"/>
  <c r="AA22" i="5"/>
  <c r="AA20" i="5"/>
  <c r="AA16" i="5"/>
  <c r="AA21" i="5"/>
  <c r="AA19" i="5"/>
  <c r="AA18" i="5"/>
  <c r="AA17" i="5"/>
  <c r="AA13" i="5"/>
  <c r="AA9" i="5"/>
  <c r="AA12" i="5"/>
  <c r="AA8" i="5"/>
  <c r="AA15" i="5"/>
  <c r="AA11" i="5"/>
  <c r="AA14" i="5"/>
  <c r="AA10" i="5"/>
  <c r="AE33" i="5"/>
  <c r="AE29" i="5"/>
  <c r="AE28" i="5"/>
  <c r="AE32" i="5"/>
  <c r="AE31" i="5"/>
  <c r="AE30" i="5"/>
  <c r="AE27" i="5"/>
  <c r="AE24" i="5"/>
  <c r="AE26" i="5"/>
  <c r="AE25" i="5"/>
  <c r="AE20" i="5"/>
  <c r="AE16" i="5"/>
  <c r="AE22" i="5"/>
  <c r="AE19" i="5"/>
  <c r="AE21" i="5"/>
  <c r="AE18" i="5"/>
  <c r="AE17" i="5"/>
  <c r="AE13" i="5"/>
  <c r="AE9" i="5"/>
  <c r="AE12" i="5"/>
  <c r="AE8" i="5"/>
  <c r="AE15" i="5"/>
  <c r="AE11" i="5"/>
  <c r="AE14" i="5"/>
  <c r="AE10" i="5"/>
  <c r="AI33" i="5"/>
  <c r="AI29" i="5"/>
  <c r="AI32" i="5"/>
  <c r="AI31" i="5"/>
  <c r="AI30" i="5"/>
  <c r="AI28" i="5"/>
  <c r="AI24" i="5"/>
  <c r="AI27" i="5"/>
  <c r="AI26" i="5"/>
  <c r="AI25" i="5"/>
  <c r="AI20" i="5"/>
  <c r="AI16" i="5"/>
  <c r="AI19" i="5"/>
  <c r="AI22" i="5"/>
  <c r="AI18" i="5"/>
  <c r="AI21" i="5"/>
  <c r="AI17" i="5"/>
  <c r="AI13" i="5"/>
  <c r="AI9" i="5"/>
  <c r="AI12" i="5"/>
  <c r="AI8" i="5"/>
  <c r="AI15" i="5"/>
  <c r="AI11" i="5"/>
  <c r="AI7" i="5"/>
  <c r="AI14" i="5"/>
  <c r="AI10" i="5"/>
  <c r="AM30" i="5"/>
  <c r="AM33" i="5"/>
  <c r="AM29" i="5"/>
  <c r="AM28" i="5"/>
  <c r="AM32" i="5"/>
  <c r="AM31" i="5"/>
  <c r="AM24" i="5"/>
  <c r="AM22" i="5"/>
  <c r="AM27" i="5"/>
  <c r="AM26" i="5"/>
  <c r="AM25" i="5"/>
  <c r="AM21" i="5"/>
  <c r="AM20" i="5"/>
  <c r="AM16" i="5"/>
  <c r="AM19" i="5"/>
  <c r="AM18" i="5"/>
  <c r="AM17" i="5"/>
  <c r="AM13" i="5"/>
  <c r="AM9" i="5"/>
  <c r="AM12" i="5"/>
  <c r="AM8" i="5"/>
  <c r="AM15" i="5"/>
  <c r="AM11" i="5"/>
  <c r="AM14" i="5"/>
  <c r="AM10" i="5"/>
  <c r="AQ30" i="5"/>
  <c r="AQ33" i="5"/>
  <c r="AQ29" i="5"/>
  <c r="AQ32" i="5"/>
  <c r="AQ31" i="5"/>
  <c r="AQ28" i="5"/>
  <c r="AQ24" i="5"/>
  <c r="AQ22" i="5"/>
  <c r="AQ26" i="5"/>
  <c r="AQ27" i="5"/>
  <c r="AQ25" i="5"/>
  <c r="AQ20" i="5"/>
  <c r="AQ16" i="5"/>
  <c r="AQ21" i="5"/>
  <c r="AQ19" i="5"/>
  <c r="AQ18" i="5"/>
  <c r="AQ17" i="5"/>
  <c r="AQ13" i="5"/>
  <c r="AQ9" i="5"/>
  <c r="AQ12" i="5"/>
  <c r="AQ8" i="5"/>
  <c r="AQ15" i="5"/>
  <c r="AQ11" i="5"/>
  <c r="AQ14" i="5"/>
  <c r="AQ10" i="5"/>
  <c r="AU30" i="5"/>
  <c r="AU33" i="5"/>
  <c r="AU29" i="5"/>
  <c r="AU28" i="5"/>
  <c r="AU32" i="5"/>
  <c r="AU31" i="5"/>
  <c r="AU27" i="5"/>
  <c r="AU24" i="5"/>
  <c r="AU22" i="5"/>
  <c r="AU26" i="5"/>
  <c r="AU25" i="5"/>
  <c r="AU20" i="5"/>
  <c r="AU16" i="5"/>
  <c r="AU19" i="5"/>
  <c r="AU21" i="5"/>
  <c r="AU18" i="5"/>
  <c r="AU17" i="5"/>
  <c r="AU13" i="5"/>
  <c r="AU9" i="5"/>
  <c r="AU12" i="5"/>
  <c r="AU8" i="5"/>
  <c r="AU15" i="5"/>
  <c r="AU11" i="5"/>
  <c r="AU14" i="5"/>
  <c r="AU10" i="5"/>
  <c r="AY30" i="5"/>
  <c r="AY33" i="5"/>
  <c r="AY29" i="5"/>
  <c r="AY32" i="5"/>
  <c r="AY31" i="5"/>
  <c r="AY28" i="5"/>
  <c r="AY24" i="5"/>
  <c r="AY27" i="5"/>
  <c r="AY22" i="5"/>
  <c r="AY26" i="5"/>
  <c r="AY25" i="5"/>
  <c r="AY20" i="5"/>
  <c r="AY16" i="5"/>
  <c r="AY19" i="5"/>
  <c r="AY18" i="5"/>
  <c r="AY21" i="5"/>
  <c r="AY17" i="5"/>
  <c r="AY13" i="5"/>
  <c r="AY9" i="5"/>
  <c r="AY12" i="5"/>
  <c r="AY8" i="5"/>
  <c r="AY15" i="5"/>
  <c r="AY11" i="5"/>
  <c r="AY14" i="5"/>
  <c r="AY10" i="5"/>
  <c r="BC30" i="5"/>
  <c r="BC33" i="5"/>
  <c r="BC29" i="5"/>
  <c r="BC28" i="5"/>
  <c r="BC32" i="5"/>
  <c r="BC31" i="5"/>
  <c r="BC24" i="5"/>
  <c r="BC22" i="5"/>
  <c r="BC27" i="5"/>
  <c r="BC26" i="5"/>
  <c r="BC25" i="5"/>
  <c r="BC21" i="5"/>
  <c r="BC20" i="5"/>
  <c r="BC16" i="5"/>
  <c r="BC19" i="5"/>
  <c r="BC18" i="5"/>
  <c r="BC17" i="5"/>
  <c r="BC13" i="5"/>
  <c r="BC9" i="5"/>
  <c r="BC12" i="5"/>
  <c r="BC8" i="5"/>
  <c r="BC15" i="5"/>
  <c r="BC11" i="5"/>
  <c r="BC7" i="5"/>
  <c r="BC14" i="5"/>
  <c r="BC10" i="5"/>
  <c r="BG30" i="5"/>
  <c r="BG33" i="5"/>
  <c r="BG29" i="5"/>
  <c r="BG32" i="5"/>
  <c r="BG31" i="5"/>
  <c r="BG28" i="5"/>
  <c r="BG24" i="5"/>
  <c r="BG22" i="5"/>
  <c r="BG26" i="5"/>
  <c r="BG27" i="5"/>
  <c r="BG25" i="5"/>
  <c r="BG20" i="5"/>
  <c r="BG16" i="5"/>
  <c r="BG21" i="5"/>
  <c r="BG19" i="5"/>
  <c r="BG18" i="5"/>
  <c r="BG17" i="5"/>
  <c r="BG13" i="5"/>
  <c r="BG9" i="5"/>
  <c r="BG12" i="5"/>
  <c r="BG8" i="5"/>
  <c r="BG11" i="5"/>
  <c r="BG15" i="5"/>
  <c r="BG14" i="5"/>
  <c r="BG10" i="5"/>
  <c r="F31" i="5"/>
  <c r="F30" i="5"/>
  <c r="F33" i="5"/>
  <c r="F29" i="5"/>
  <c r="F32" i="5"/>
  <c r="F25" i="5"/>
  <c r="F24" i="5"/>
  <c r="F28" i="5"/>
  <c r="F27" i="5"/>
  <c r="F26" i="5"/>
  <c r="F22" i="5"/>
  <c r="F21" i="5"/>
  <c r="F17" i="5"/>
  <c r="F20" i="5"/>
  <c r="F19" i="5"/>
  <c r="F18" i="5"/>
  <c r="J31" i="5"/>
  <c r="J30" i="5"/>
  <c r="J32" i="5"/>
  <c r="J29" i="5"/>
  <c r="J33" i="5"/>
  <c r="J27" i="5"/>
  <c r="J25" i="5"/>
  <c r="J28" i="5"/>
  <c r="J24" i="5"/>
  <c r="J26" i="5"/>
  <c r="J21" i="5"/>
  <c r="J17" i="5"/>
  <c r="J22" i="5"/>
  <c r="J20" i="5"/>
  <c r="J19" i="5"/>
  <c r="J18" i="5"/>
  <c r="N31" i="5"/>
  <c r="N30" i="5"/>
  <c r="N33" i="5"/>
  <c r="N29" i="5"/>
  <c r="N32" i="5"/>
  <c r="N28" i="5"/>
  <c r="N25" i="5"/>
  <c r="N27" i="5"/>
  <c r="N24" i="5"/>
  <c r="N26" i="5"/>
  <c r="N21" i="5"/>
  <c r="N17" i="5"/>
  <c r="N20" i="5"/>
  <c r="N22" i="5"/>
  <c r="N19" i="5"/>
  <c r="N18" i="5"/>
  <c r="R31" i="5"/>
  <c r="R30" i="5"/>
  <c r="R32" i="5"/>
  <c r="R29" i="5"/>
  <c r="R33" i="5"/>
  <c r="R25" i="5"/>
  <c r="R24" i="5"/>
  <c r="R27" i="5"/>
  <c r="R28" i="5"/>
  <c r="R26" i="5"/>
  <c r="R21" i="5"/>
  <c r="R17" i="5"/>
  <c r="R20" i="5"/>
  <c r="R19" i="5"/>
  <c r="R22" i="5"/>
  <c r="R18" i="5"/>
  <c r="V31" i="5"/>
  <c r="V30" i="5"/>
  <c r="V33" i="5"/>
  <c r="V29" i="5"/>
  <c r="V32" i="5"/>
  <c r="V25" i="5"/>
  <c r="V24" i="5"/>
  <c r="V28" i="5"/>
  <c r="V27" i="5"/>
  <c r="V26" i="5"/>
  <c r="V22" i="5"/>
  <c r="V17" i="5"/>
  <c r="V21" i="5"/>
  <c r="V20" i="5"/>
  <c r="V19" i="5"/>
  <c r="V18" i="5"/>
  <c r="Z31" i="5"/>
  <c r="Z30" i="5"/>
  <c r="Z32" i="5"/>
  <c r="Z29" i="5"/>
  <c r="Z28" i="5"/>
  <c r="Z33" i="5"/>
  <c r="Z27" i="5"/>
  <c r="Z25" i="5"/>
  <c r="Z24" i="5"/>
  <c r="Z26" i="5"/>
  <c r="Z17" i="5"/>
  <c r="Z22" i="5"/>
  <c r="Z20" i="5"/>
  <c r="Z21" i="5"/>
  <c r="Z19" i="5"/>
  <c r="Z18" i="5"/>
  <c r="AD31" i="5"/>
  <c r="AD30" i="5"/>
  <c r="AD33" i="5"/>
  <c r="AD29" i="5"/>
  <c r="AD28" i="5"/>
  <c r="AD32" i="5"/>
  <c r="AD25" i="5"/>
  <c r="AD27" i="5"/>
  <c r="AD24" i="5"/>
  <c r="AD26" i="5"/>
  <c r="AD17" i="5"/>
  <c r="AD20" i="5"/>
  <c r="AD22" i="5"/>
  <c r="AD19" i="5"/>
  <c r="AD21" i="5"/>
  <c r="AD18" i="5"/>
  <c r="AH31" i="5"/>
  <c r="AH30" i="5"/>
  <c r="AH32" i="5"/>
  <c r="AH29" i="5"/>
  <c r="AH28" i="5"/>
  <c r="AH33" i="5"/>
  <c r="AH25" i="5"/>
  <c r="AH24" i="5"/>
  <c r="AH27" i="5"/>
  <c r="AH26" i="5"/>
  <c r="AH21" i="5"/>
  <c r="AH17" i="5"/>
  <c r="AH20" i="5"/>
  <c r="AH19" i="5"/>
  <c r="AH22" i="5"/>
  <c r="AH18" i="5"/>
  <c r="AL31" i="5"/>
  <c r="AL30" i="5"/>
  <c r="AL33" i="5"/>
  <c r="AL28" i="5"/>
  <c r="AL32" i="5"/>
  <c r="AL29" i="5"/>
  <c r="AL25" i="5"/>
  <c r="AL24" i="5"/>
  <c r="AL27" i="5"/>
  <c r="AL26" i="5"/>
  <c r="AL22" i="5"/>
  <c r="AL17" i="5"/>
  <c r="AL21" i="5"/>
  <c r="AL20" i="5"/>
  <c r="AL19" i="5"/>
  <c r="AL18" i="5"/>
  <c r="AP31" i="5"/>
  <c r="AP30" i="5"/>
  <c r="AP29" i="5"/>
  <c r="AP32" i="5"/>
  <c r="AP28" i="5"/>
  <c r="AP33" i="5"/>
  <c r="AP27" i="5"/>
  <c r="AP25" i="5"/>
  <c r="AP24" i="5"/>
  <c r="AP26" i="5"/>
  <c r="AP17" i="5"/>
  <c r="AP20" i="5"/>
  <c r="AP22" i="5"/>
  <c r="AP21" i="5"/>
  <c r="AP19" i="5"/>
  <c r="AP18" i="5"/>
  <c r="AT31" i="5"/>
  <c r="AT30" i="5"/>
  <c r="AT33" i="5"/>
  <c r="AT29" i="5"/>
  <c r="AT28" i="5"/>
  <c r="AT32" i="5"/>
  <c r="AT25" i="5"/>
  <c r="AT27" i="5"/>
  <c r="AT24" i="5"/>
  <c r="AT26" i="5"/>
  <c r="AT22" i="5"/>
  <c r="AT17" i="5"/>
  <c r="AT20" i="5"/>
  <c r="AT19" i="5"/>
  <c r="AT21" i="5"/>
  <c r="AT18" i="5"/>
  <c r="AX31" i="5"/>
  <c r="AX30" i="5"/>
  <c r="AX32" i="5"/>
  <c r="AX29" i="5"/>
  <c r="AX28" i="5"/>
  <c r="AX33" i="5"/>
  <c r="AX25" i="5"/>
  <c r="AX24" i="5"/>
  <c r="AX27" i="5"/>
  <c r="AX26" i="5"/>
  <c r="AX21" i="5"/>
  <c r="AX17" i="5"/>
  <c r="AX20" i="5"/>
  <c r="AX22" i="5"/>
  <c r="AX19" i="5"/>
  <c r="AX18" i="5"/>
  <c r="BB31" i="5"/>
  <c r="BB30" i="5"/>
  <c r="BB33" i="5"/>
  <c r="BB28" i="5"/>
  <c r="BB32" i="5"/>
  <c r="BB29" i="5"/>
  <c r="BB25" i="5"/>
  <c r="BB24" i="5"/>
  <c r="BB27" i="5"/>
  <c r="BB26" i="5"/>
  <c r="BB22" i="5"/>
  <c r="BB17" i="5"/>
  <c r="BB21" i="5"/>
  <c r="BB20" i="5"/>
  <c r="BB19" i="5"/>
  <c r="BB18" i="5"/>
  <c r="BF31" i="5"/>
  <c r="BF30" i="5"/>
  <c r="BF29" i="5"/>
  <c r="BF32" i="5"/>
  <c r="BF28" i="5"/>
  <c r="BF33" i="5"/>
  <c r="BF27" i="5"/>
  <c r="BF25" i="5"/>
  <c r="BF24" i="5"/>
  <c r="BF26" i="5"/>
  <c r="BF17" i="5"/>
  <c r="BF20" i="5"/>
  <c r="BF22" i="5"/>
  <c r="BF21" i="5"/>
  <c r="BF19" i="5"/>
  <c r="BF18" i="5"/>
  <c r="BJ31" i="5"/>
  <c r="BJ30" i="5"/>
  <c r="BJ33" i="5"/>
  <c r="BJ29" i="5"/>
  <c r="BJ28" i="5"/>
  <c r="BJ32" i="5"/>
  <c r="BJ25" i="5"/>
  <c r="BJ27" i="5"/>
  <c r="BJ24" i="5"/>
  <c r="BJ26" i="5"/>
  <c r="BJ22" i="5"/>
  <c r="BJ17" i="5"/>
  <c r="BJ20" i="5"/>
  <c r="BJ19" i="5"/>
  <c r="BJ21" i="5"/>
  <c r="BJ18" i="5"/>
  <c r="J7" i="5"/>
  <c r="AD7" i="5"/>
  <c r="AX7" i="5"/>
  <c r="I8" i="5"/>
  <c r="M8" i="5"/>
  <c r="Q8" i="5"/>
  <c r="U8" i="5"/>
  <c r="Y8" i="5"/>
  <c r="AC8" i="5"/>
  <c r="AG8" i="5"/>
  <c r="AK8" i="5"/>
  <c r="AO8" i="5"/>
  <c r="AS8" i="5"/>
  <c r="AW8" i="5"/>
  <c r="BA8" i="5"/>
  <c r="BE8" i="5"/>
  <c r="BI8" i="5"/>
  <c r="BM8" i="5"/>
  <c r="BL9" i="5"/>
  <c r="BK10" i="5"/>
  <c r="F11" i="5"/>
  <c r="J11" i="5"/>
  <c r="N11" i="5"/>
  <c r="R11" i="5"/>
  <c r="V11" i="5"/>
  <c r="Z11" i="5"/>
  <c r="AD11" i="5"/>
  <c r="AH11" i="5"/>
  <c r="AL11" i="5"/>
  <c r="AP11" i="5"/>
  <c r="AT11" i="5"/>
  <c r="AX11" i="5"/>
  <c r="BB11" i="5"/>
  <c r="BF11" i="5"/>
  <c r="BJ11" i="5"/>
  <c r="I12" i="5"/>
  <c r="M12" i="5"/>
  <c r="Q12" i="5"/>
  <c r="U12" i="5"/>
  <c r="Y12" i="5"/>
  <c r="AC12" i="5"/>
  <c r="AG12" i="5"/>
  <c r="AK12" i="5"/>
  <c r="AO12" i="5"/>
  <c r="AS12" i="5"/>
  <c r="AW12" i="5"/>
  <c r="BA12" i="5"/>
  <c r="BE12" i="5"/>
  <c r="BI12" i="5"/>
  <c r="BM12" i="5"/>
  <c r="BL13" i="5"/>
  <c r="F15" i="5"/>
  <c r="J15" i="5"/>
  <c r="N15" i="5"/>
  <c r="R15" i="5"/>
  <c r="V15" i="5"/>
  <c r="Z15" i="5"/>
  <c r="AD15" i="5"/>
  <c r="AH15" i="5"/>
  <c r="AL15" i="5"/>
  <c r="AP15" i="5"/>
  <c r="AT15" i="5"/>
  <c r="AX15" i="5"/>
  <c r="BB15" i="5"/>
  <c r="BM15" i="5"/>
  <c r="J16" i="5"/>
  <c r="U16" i="5"/>
  <c r="Z16" i="5"/>
  <c r="AK16" i="5"/>
  <c r="AP16" i="5"/>
  <c r="BA16" i="5"/>
  <c r="BF16" i="5"/>
  <c r="BL16" i="5"/>
  <c r="I17" i="5"/>
  <c r="BL17" i="5"/>
  <c r="BK30" i="5"/>
  <c r="BK33" i="5"/>
  <c r="BK29" i="5"/>
  <c r="BK28" i="5"/>
  <c r="BK32" i="5"/>
  <c r="BK31" i="5"/>
  <c r="BK27" i="5"/>
  <c r="BK24" i="5"/>
  <c r="BK22" i="5"/>
  <c r="BK26" i="5"/>
  <c r="BK25" i="5"/>
  <c r="BK20" i="5"/>
  <c r="BK16" i="5"/>
  <c r="BK19" i="5"/>
  <c r="BK21" i="5"/>
  <c r="BK18" i="5"/>
  <c r="BK17" i="5"/>
  <c r="F8" i="5"/>
  <c r="J8" i="5"/>
  <c r="N8" i="5"/>
  <c r="R8" i="5"/>
  <c r="V8" i="5"/>
  <c r="Z8" i="5"/>
  <c r="AD8" i="5"/>
  <c r="AH8" i="5"/>
  <c r="AL8" i="5"/>
  <c r="AP8" i="5"/>
  <c r="AT8" i="5"/>
  <c r="AX8" i="5"/>
  <c r="BB8" i="5"/>
  <c r="BF8" i="5"/>
  <c r="BJ8" i="5"/>
  <c r="I9" i="5"/>
  <c r="M9" i="5"/>
  <c r="Q9" i="5"/>
  <c r="U9" i="5"/>
  <c r="Y9" i="5"/>
  <c r="AC9" i="5"/>
  <c r="AG9" i="5"/>
  <c r="AK9" i="5"/>
  <c r="AO9" i="5"/>
  <c r="AS9" i="5"/>
  <c r="AW9" i="5"/>
  <c r="BA9" i="5"/>
  <c r="BE9" i="5"/>
  <c r="BI9" i="5"/>
  <c r="BM9" i="5"/>
  <c r="BL10" i="5"/>
  <c r="BK11" i="5"/>
  <c r="F12" i="5"/>
  <c r="J12" i="5"/>
  <c r="N12" i="5"/>
  <c r="R12" i="5"/>
  <c r="V12" i="5"/>
  <c r="Z12" i="5"/>
  <c r="AD12" i="5"/>
  <c r="AH12" i="5"/>
  <c r="AL12" i="5"/>
  <c r="AP12" i="5"/>
  <c r="AT12" i="5"/>
  <c r="AX12" i="5"/>
  <c r="BB12" i="5"/>
  <c r="BF12" i="5"/>
  <c r="BJ12" i="5"/>
  <c r="I13" i="5"/>
  <c r="M13" i="5"/>
  <c r="Q13" i="5"/>
  <c r="U13" i="5"/>
  <c r="Y13" i="5"/>
  <c r="AC13" i="5"/>
  <c r="AG13" i="5"/>
  <c r="AK13" i="5"/>
  <c r="AO13" i="5"/>
  <c r="AS13" i="5"/>
  <c r="AW13" i="5"/>
  <c r="BA13" i="5"/>
  <c r="BE13" i="5"/>
  <c r="BI13" i="5"/>
  <c r="BM13" i="5"/>
  <c r="BI15" i="5"/>
  <c r="F16" i="5"/>
  <c r="Q16" i="5"/>
  <c r="V16" i="5"/>
  <c r="AG16" i="5"/>
  <c r="AL16" i="5"/>
  <c r="AW16" i="5"/>
  <c r="BB16" i="5"/>
  <c r="BM16" i="5"/>
  <c r="Q17" i="5"/>
  <c r="Y17" i="5"/>
  <c r="BL33" i="5"/>
  <c r="BL32" i="5"/>
  <c r="BL29" i="5"/>
  <c r="BL28" i="5"/>
  <c r="BL31" i="5"/>
  <c r="BL30" i="5"/>
  <c r="BL27" i="5"/>
  <c r="BL22" i="5"/>
  <c r="BL26" i="5"/>
  <c r="BL25" i="5"/>
  <c r="BL24" i="5"/>
  <c r="BL19" i="5"/>
  <c r="BL15" i="5"/>
  <c r="BL21" i="5"/>
  <c r="BL18" i="5"/>
  <c r="BL20" i="5"/>
  <c r="BK8" i="5"/>
  <c r="F9" i="5"/>
  <c r="J9" i="5"/>
  <c r="N9" i="5"/>
  <c r="R9" i="5"/>
  <c r="V9" i="5"/>
  <c r="Z9" i="5"/>
  <c r="AD9" i="5"/>
  <c r="AH9" i="5"/>
  <c r="AL9" i="5"/>
  <c r="AP9" i="5"/>
  <c r="AT9" i="5"/>
  <c r="AX9" i="5"/>
  <c r="BB9" i="5"/>
  <c r="BF9" i="5"/>
  <c r="BJ9" i="5"/>
  <c r="I10" i="5"/>
  <c r="M10" i="5"/>
  <c r="Q10" i="5"/>
  <c r="U10" i="5"/>
  <c r="Y10" i="5"/>
  <c r="AC10" i="5"/>
  <c r="AG10" i="5"/>
  <c r="AK10" i="5"/>
  <c r="AO10" i="5"/>
  <c r="AS10" i="5"/>
  <c r="AW10" i="5"/>
  <c r="BA10" i="5"/>
  <c r="BE10" i="5"/>
  <c r="BI10" i="5"/>
  <c r="BM10" i="5"/>
  <c r="BL11" i="5"/>
  <c r="BK12" i="5"/>
  <c r="F13" i="5"/>
  <c r="J13" i="5"/>
  <c r="N13" i="5"/>
  <c r="R13" i="5"/>
  <c r="V13" i="5"/>
  <c r="Z13" i="5"/>
  <c r="AD13" i="5"/>
  <c r="AH13" i="5"/>
  <c r="AL13" i="5"/>
  <c r="AP13" i="5"/>
  <c r="AT13" i="5"/>
  <c r="AX13" i="5"/>
  <c r="BB13" i="5"/>
  <c r="BF13" i="5"/>
  <c r="BJ13" i="5"/>
  <c r="M14" i="5"/>
  <c r="AC14" i="5"/>
  <c r="AS14" i="5"/>
  <c r="BE14" i="5"/>
  <c r="BI14" i="5"/>
  <c r="BJ15" i="5"/>
  <c r="R16" i="5"/>
  <c r="AH16" i="5"/>
  <c r="AX16" i="5"/>
  <c r="I32" i="5"/>
  <c r="I31" i="5"/>
  <c r="I33" i="5"/>
  <c r="I29" i="5"/>
  <c r="I30" i="5"/>
  <c r="I28" i="5"/>
  <c r="I26" i="5"/>
  <c r="I27" i="5"/>
  <c r="I25" i="5"/>
  <c r="I24" i="5"/>
  <c r="I18" i="5"/>
  <c r="I21" i="5"/>
  <c r="I22" i="5"/>
  <c r="I20" i="5"/>
  <c r="I19" i="5"/>
  <c r="M32" i="5"/>
  <c r="M31" i="5"/>
  <c r="M30" i="5"/>
  <c r="M33" i="5"/>
  <c r="M29" i="5"/>
  <c r="M28" i="5"/>
  <c r="M26" i="5"/>
  <c r="M25" i="5"/>
  <c r="M27" i="5"/>
  <c r="M24" i="5"/>
  <c r="M18" i="5"/>
  <c r="M21" i="5"/>
  <c r="M20" i="5"/>
  <c r="M22" i="5"/>
  <c r="M19" i="5"/>
  <c r="Q32" i="5"/>
  <c r="Q31" i="5"/>
  <c r="Q33" i="5"/>
  <c r="Q30" i="5"/>
  <c r="Q29" i="5"/>
  <c r="Q28" i="5"/>
  <c r="Q26" i="5"/>
  <c r="Q25" i="5"/>
  <c r="Q24" i="5"/>
  <c r="Q27" i="5"/>
  <c r="Q22" i="5"/>
  <c r="Q18" i="5"/>
  <c r="Q21" i="5"/>
  <c r="Q20" i="5"/>
  <c r="Q19" i="5"/>
  <c r="U32" i="5"/>
  <c r="U31" i="5"/>
  <c r="U33" i="5"/>
  <c r="U30" i="5"/>
  <c r="U29" i="5"/>
  <c r="U28" i="5"/>
  <c r="U27" i="5"/>
  <c r="U26" i="5"/>
  <c r="U21" i="5"/>
  <c r="U25" i="5"/>
  <c r="U24" i="5"/>
  <c r="U18" i="5"/>
  <c r="U22" i="5"/>
  <c r="U20" i="5"/>
  <c r="U19" i="5"/>
  <c r="Y32" i="5"/>
  <c r="Y31" i="5"/>
  <c r="Y33" i="5"/>
  <c r="Y29" i="5"/>
  <c r="Y30" i="5"/>
  <c r="Y28" i="5"/>
  <c r="Y26" i="5"/>
  <c r="Y21" i="5"/>
  <c r="Y27" i="5"/>
  <c r="Y25" i="5"/>
  <c r="Y24" i="5"/>
  <c r="Y18" i="5"/>
  <c r="Y22" i="5"/>
  <c r="Y20" i="5"/>
  <c r="Y19" i="5"/>
  <c r="AC32" i="5"/>
  <c r="AC31" i="5"/>
  <c r="AC30" i="5"/>
  <c r="AC33" i="5"/>
  <c r="AC29" i="5"/>
  <c r="AC28" i="5"/>
  <c r="AC26" i="5"/>
  <c r="AC21" i="5"/>
  <c r="AC25" i="5"/>
  <c r="AC27" i="5"/>
  <c r="AC24" i="5"/>
  <c r="AC18" i="5"/>
  <c r="AC20" i="5"/>
  <c r="AC22" i="5"/>
  <c r="AC19" i="5"/>
  <c r="AG32" i="5"/>
  <c r="AG31" i="5"/>
  <c r="AG33" i="5"/>
  <c r="AG30" i="5"/>
  <c r="AG29" i="5"/>
  <c r="AG28" i="5"/>
  <c r="AG26" i="5"/>
  <c r="AG21" i="5"/>
  <c r="AG25" i="5"/>
  <c r="AG24" i="5"/>
  <c r="AG27" i="5"/>
  <c r="AG22" i="5"/>
  <c r="AG18" i="5"/>
  <c r="AG17" i="5"/>
  <c r="AG20" i="5"/>
  <c r="AG19" i="5"/>
  <c r="AK32" i="5"/>
  <c r="AK31" i="5"/>
  <c r="AK29" i="5"/>
  <c r="AK33" i="5"/>
  <c r="AK30" i="5"/>
  <c r="AK28" i="5"/>
  <c r="AK27" i="5"/>
  <c r="AK26" i="5"/>
  <c r="AK21" i="5"/>
  <c r="AK25" i="5"/>
  <c r="AK24" i="5"/>
  <c r="AK18" i="5"/>
  <c r="AK22" i="5"/>
  <c r="AK17" i="5"/>
  <c r="AK20" i="5"/>
  <c r="AK19" i="5"/>
  <c r="AO32" i="5"/>
  <c r="AO31" i="5"/>
  <c r="AO33" i="5"/>
  <c r="AO30" i="5"/>
  <c r="AO29" i="5"/>
  <c r="AO28" i="5"/>
  <c r="AO26" i="5"/>
  <c r="AO21" i="5"/>
  <c r="AO27" i="5"/>
  <c r="AO25" i="5"/>
  <c r="AO24" i="5"/>
  <c r="AO18" i="5"/>
  <c r="AO17" i="5"/>
  <c r="AO20" i="5"/>
  <c r="AO22" i="5"/>
  <c r="AO19" i="5"/>
  <c r="AS32" i="5"/>
  <c r="AS31" i="5"/>
  <c r="AS33" i="5"/>
  <c r="AS30" i="5"/>
  <c r="AS29" i="5"/>
  <c r="AS28" i="5"/>
  <c r="AS26" i="5"/>
  <c r="AS21" i="5"/>
  <c r="AS25" i="5"/>
  <c r="AS27" i="5"/>
  <c r="AS24" i="5"/>
  <c r="AS18" i="5"/>
  <c r="AS22" i="5"/>
  <c r="AS17" i="5"/>
  <c r="AS20" i="5"/>
  <c r="AS19" i="5"/>
  <c r="AW32" i="5"/>
  <c r="AW31" i="5"/>
  <c r="AW33" i="5"/>
  <c r="AW30" i="5"/>
  <c r="AW29" i="5"/>
  <c r="AW28" i="5"/>
  <c r="AW26" i="5"/>
  <c r="AW21" i="5"/>
  <c r="AW25" i="5"/>
  <c r="AW24" i="5"/>
  <c r="AW27" i="5"/>
  <c r="AW18" i="5"/>
  <c r="AW17" i="5"/>
  <c r="AW20" i="5"/>
  <c r="AW22" i="5"/>
  <c r="AW19" i="5"/>
  <c r="BA32" i="5"/>
  <c r="BA31" i="5"/>
  <c r="BA29" i="5"/>
  <c r="BA33" i="5"/>
  <c r="BA30" i="5"/>
  <c r="BA28" i="5"/>
  <c r="BA27" i="5"/>
  <c r="BA26" i="5"/>
  <c r="BA21" i="5"/>
  <c r="BA25" i="5"/>
  <c r="BA24" i="5"/>
  <c r="BA18" i="5"/>
  <c r="BA22" i="5"/>
  <c r="BA17" i="5"/>
  <c r="BA20" i="5"/>
  <c r="BA19" i="5"/>
  <c r="BE32" i="5"/>
  <c r="BE31" i="5"/>
  <c r="BE33" i="5"/>
  <c r="BE30" i="5"/>
  <c r="BE29" i="5"/>
  <c r="BE28" i="5"/>
  <c r="BE26" i="5"/>
  <c r="BE21" i="5"/>
  <c r="BE27" i="5"/>
  <c r="BE25" i="5"/>
  <c r="BE24" i="5"/>
  <c r="BE18" i="5"/>
  <c r="BE17" i="5"/>
  <c r="BE20" i="5"/>
  <c r="BE22" i="5"/>
  <c r="BE19" i="5"/>
  <c r="BI32" i="5"/>
  <c r="BI31" i="5"/>
  <c r="BI33" i="5"/>
  <c r="BI30" i="5"/>
  <c r="BI29" i="5"/>
  <c r="BI28" i="5"/>
  <c r="BI26" i="5"/>
  <c r="BI21" i="5"/>
  <c r="BI25" i="5"/>
  <c r="BI27" i="5"/>
  <c r="BI24" i="5"/>
  <c r="BI18" i="5"/>
  <c r="BI22" i="5"/>
  <c r="BI17" i="5"/>
  <c r="BI20" i="5"/>
  <c r="BI19" i="5"/>
  <c r="BM32" i="5"/>
  <c r="BM31" i="5"/>
  <c r="BM33" i="5"/>
  <c r="BM30" i="5"/>
  <c r="BM26" i="5"/>
  <c r="BM29" i="5"/>
  <c r="BM28" i="5"/>
  <c r="BM21" i="5"/>
  <c r="BM25" i="5"/>
  <c r="BM24" i="5"/>
  <c r="BM27" i="5"/>
  <c r="BM18" i="5"/>
  <c r="BM17" i="5"/>
  <c r="BM20" i="5"/>
  <c r="BM22" i="5"/>
  <c r="BM19" i="5"/>
  <c r="Y7" i="5"/>
  <c r="AS7" i="5"/>
  <c r="BM7" i="5"/>
  <c r="BL8" i="5"/>
  <c r="BK9" i="5"/>
  <c r="F10" i="5"/>
  <c r="J10" i="5"/>
  <c r="N10" i="5"/>
  <c r="R10" i="5"/>
  <c r="V10" i="5"/>
  <c r="Z10" i="5"/>
  <c r="AD10" i="5"/>
  <c r="AH10" i="5"/>
  <c r="AL10" i="5"/>
  <c r="AP10" i="5"/>
  <c r="AT10" i="5"/>
  <c r="AX10" i="5"/>
  <c r="BB10" i="5"/>
  <c r="BF10" i="5"/>
  <c r="BJ10" i="5"/>
  <c r="I11" i="5"/>
  <c r="M11" i="5"/>
  <c r="Q11" i="5"/>
  <c r="U11" i="5"/>
  <c r="Y11" i="5"/>
  <c r="AC11" i="5"/>
  <c r="AG11" i="5"/>
  <c r="AK11" i="5"/>
  <c r="AO11" i="5"/>
  <c r="AS11" i="5"/>
  <c r="AW11" i="5"/>
  <c r="BA11" i="5"/>
  <c r="BE11" i="5"/>
  <c r="BI11" i="5"/>
  <c r="BM11" i="5"/>
  <c r="BL12" i="5"/>
  <c r="BK13" i="5"/>
  <c r="F14" i="5"/>
  <c r="J14" i="5"/>
  <c r="N14" i="5"/>
  <c r="R14" i="5"/>
  <c r="V14" i="5"/>
  <c r="Z14" i="5"/>
  <c r="AD14" i="5"/>
  <c r="AH14" i="5"/>
  <c r="AL14" i="5"/>
  <c r="AP14" i="5"/>
  <c r="AT14" i="5"/>
  <c r="AX14" i="5"/>
  <c r="BB14" i="5"/>
  <c r="BF14" i="5"/>
  <c r="BJ14" i="5"/>
  <c r="I15" i="5"/>
  <c r="M15" i="5"/>
  <c r="Q15" i="5"/>
  <c r="U15" i="5"/>
  <c r="Y15" i="5"/>
  <c r="AC15" i="5"/>
  <c r="AG15" i="5"/>
  <c r="AK15" i="5"/>
  <c r="AO15" i="5"/>
  <c r="AS15" i="5"/>
  <c r="AW15" i="5"/>
  <c r="BA15" i="5"/>
  <c r="BF15" i="5"/>
  <c r="BK15" i="5"/>
  <c r="I16" i="5"/>
  <c r="N16" i="5"/>
  <c r="Y16" i="5"/>
  <c r="AD16" i="5"/>
  <c r="AO16" i="5"/>
  <c r="AT16" i="5"/>
  <c r="BE16" i="5"/>
  <c r="BJ16" i="5"/>
  <c r="M17" i="5"/>
  <c r="U17" i="5"/>
  <c r="AC17" i="5"/>
  <c r="AE34" i="5" l="1"/>
  <c r="K34" i="5"/>
  <c r="AR34" i="5"/>
  <c r="BD34" i="5"/>
  <c r="AT34" i="5"/>
  <c r="AK34" i="5"/>
  <c r="H34" i="5"/>
  <c r="AN34" i="5"/>
  <c r="BK34" i="5"/>
  <c r="BF34" i="5"/>
  <c r="AP34" i="5"/>
  <c r="Z34" i="5"/>
  <c r="J34" i="5"/>
  <c r="BM34" i="5"/>
  <c r="AW34" i="5"/>
  <c r="AG34" i="5"/>
  <c r="Q34" i="5"/>
  <c r="BC34" i="5"/>
  <c r="AM34" i="5"/>
  <c r="AA34" i="5"/>
  <c r="O34" i="5"/>
  <c r="BH34" i="5"/>
  <c r="AJ34" i="5"/>
  <c r="T34" i="5"/>
  <c r="AF34" i="5"/>
  <c r="BJ34" i="5"/>
  <c r="N34" i="5"/>
  <c r="U34" i="5"/>
  <c r="AQ34" i="5"/>
  <c r="P34" i="5"/>
  <c r="BB34" i="5"/>
  <c r="AL34" i="5"/>
  <c r="V34" i="5"/>
  <c r="F34" i="5"/>
  <c r="BI34" i="5"/>
  <c r="AS34" i="5"/>
  <c r="AC34" i="5"/>
  <c r="M34" i="5"/>
  <c r="AY34" i="5"/>
  <c r="W34" i="5"/>
  <c r="M4" i="2"/>
  <c r="K8" i="2"/>
  <c r="AV34" i="5"/>
  <c r="X34" i="5"/>
  <c r="AD34" i="5"/>
  <c r="BA34" i="5"/>
  <c r="BL34" i="5"/>
  <c r="AX34" i="5"/>
  <c r="AH34" i="5"/>
  <c r="R34" i="5"/>
  <c r="BE34" i="5"/>
  <c r="AO34" i="5"/>
  <c r="Y34" i="5"/>
  <c r="I34" i="5"/>
  <c r="BG34" i="5"/>
  <c r="AU34" i="5"/>
  <c r="AI34" i="5"/>
  <c r="S34" i="5"/>
  <c r="G34" i="5"/>
  <c r="AZ34" i="5"/>
  <c r="AB34" i="5"/>
  <c r="L34" i="5"/>
  <c r="AJ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PCM Direto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TAG. Digite como texto (preserva zeros à esquerda). Exemplo: 00123.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Equipamento.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Família de equipamento. Escolha na lista (preencha antes a aba Cadastros).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Setor. Escolha na lista (preencha antes a aba Cadastros).</t>
        </r>
      </text>
    </comment>
    <comment ref="F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H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Família de equipamento.</t>
        </r>
      </text>
    </comment>
    <comment ref="J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Setor.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PCM Direto</author>
  </authors>
  <commentList>
    <comment ref="A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Rev. Digite como texto (preserva zeros à esquerda). Exemplo: 00123.</t>
        </r>
      </text>
    </comment>
    <comment ref="B3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Data. Data no formato dd/mm/aaaa. Exemplo: 30/10/2026.</t>
        </r>
      </text>
    </comment>
    <comment ref="C3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Descrição da alteração.</t>
        </r>
      </text>
    </comment>
    <comment ref="D3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Elaborado por.</t>
        </r>
      </text>
    </comment>
    <comment ref="E3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Aprovado por.</t>
        </r>
      </text>
    </comment>
  </commentList>
</comments>
</file>

<file path=xl/sharedStrings.xml><?xml version="1.0" encoding="utf-8"?>
<sst xmlns="http://schemas.openxmlformats.org/spreadsheetml/2006/main" count="265" uniqueCount="231">
  <si>
    <t>LEIA-ME  ·  GUIA RÁPIDO</t>
  </si>
  <si>
    <t>Modelos, guias e novidades</t>
  </si>
  <si>
    <t>PCM-MAN-002  ·  Criticidade, FMECA e plano de manutenção</t>
  </si>
  <si>
    <t>pcmdireto.me</t>
  </si>
  <si>
    <t>Leia em 1 minuto, preencha os campos brancos e comece a usar.</t>
  </si>
  <si>
    <t>Dúvidas e sugestões pelo site</t>
  </si>
  <si>
    <t>COMO USAR ESTE MODELO</t>
  </si>
  <si>
    <r>
      <rPr>
        <sz val="14"/>
        <color rgb="FFF28C28"/>
        <rFont val="Arial Black"/>
      </rPr>
      <t xml:space="preserve">1  </t>
    </r>
    <r>
      <rPr>
        <sz val="10"/>
        <color rgb="FF0B2A5B"/>
        <rFont val="Arial Black"/>
      </rPr>
      <t>Identifique</t>
    </r>
  </si>
  <si>
    <r>
      <rPr>
        <sz val="14"/>
        <color rgb="FFF28C28"/>
        <rFont val="Arial Black"/>
      </rPr>
      <t xml:space="preserve">2  </t>
    </r>
    <r>
      <rPr>
        <sz val="10"/>
        <color rgb="FF0B2A5B"/>
        <rFont val="Arial Black"/>
      </rPr>
      <t>Cadastre</t>
    </r>
  </si>
  <si>
    <r>
      <rPr>
        <sz val="14"/>
        <color rgb="FFF28C28"/>
        <rFont val="Arial Black"/>
      </rPr>
      <t xml:space="preserve">3  </t>
    </r>
    <r>
      <rPr>
        <sz val="10"/>
        <color rgb="FF0B2A5B"/>
        <rFont val="Arial Black"/>
      </rPr>
      <t>Preencha</t>
    </r>
  </si>
  <si>
    <r>
      <rPr>
        <sz val="14"/>
        <color rgb="FFF28C28"/>
        <rFont val="Arial Black"/>
      </rPr>
      <t xml:space="preserve">4  </t>
    </r>
    <r>
      <rPr>
        <sz val="10"/>
        <color rgb="FF0B2A5B"/>
        <rFont val="Arial Black"/>
      </rPr>
      <t>Imprima e revise</t>
    </r>
  </si>
  <si>
    <t>Preencha Elaborado e Aprovado logo abaixo. Vai para o cabeçalho de todas as abas.</t>
  </si>
  <si>
    <t>Na aba Cadastros, lance TAGs, pessoas e setores uma vez. Eles viram as listas ▼.</t>
  </si>
  <si>
    <t>Use as abas na ordem do passo a passo. Comece por Criticidade.</t>
  </si>
  <si>
    <t>Cada aba sai em uma folha A4. Mudou o modelo? Registre na aba Revisões.</t>
  </si>
  <si>
    <r>
      <rPr>
        <sz val="10"/>
        <color rgb="FFF28C28"/>
        <rFont val="Arial Black"/>
      </rPr>
      <t xml:space="preserve">1  </t>
    </r>
    <r>
      <rPr>
        <sz val="10"/>
        <color rgb="FFFFFFFF"/>
        <rFont val="Arial Black"/>
      </rPr>
      <t>IDENTIFICAÇÃO DO DOCUMENTO  ·  vai para o cabeçalho de todas as abas</t>
    </r>
  </si>
  <si>
    <t>Título do documento</t>
  </si>
  <si>
    <t>Criticidade, FMECA e plano de manutenção</t>
  </si>
  <si>
    <t>Já vem pronto. Ajuste se quiser.</t>
  </si>
  <si>
    <t>Objetivo</t>
  </si>
  <si>
    <t>Classificar os equipamentos, analisar as falhas e transformar a análise em plano e cronograma</t>
  </si>
  <si>
    <t>Código do documento</t>
  </si>
  <si>
    <t>PCM-MAN-002</t>
  </si>
  <si>
    <t>Elaborado por</t>
  </si>
  <si>
    <t>✎ preencha</t>
  </si>
  <si>
    <t>Aprovado por</t>
  </si>
  <si>
    <t>Revisão atual</t>
  </si>
  <si>
    <t>automático: aba Revisões</t>
  </si>
  <si>
    <t>Data da revisão</t>
  </si>
  <si>
    <r>
      <rPr>
        <sz val="10"/>
        <color rgb="FFF28C28"/>
        <rFont val="Arial Black"/>
      </rPr>
      <t xml:space="preserve">2  </t>
    </r>
    <r>
      <rPr>
        <sz val="10"/>
        <color rgb="FFFFFFFF"/>
        <rFont val="Arial Black"/>
      </rPr>
      <t>PASSO A PASSO  ·  clique no nome da aba para abrir</t>
    </r>
  </si>
  <si>
    <t>Cadastros</t>
  </si>
  <si>
    <t>Cadastre uma vez TAG, equipamento, família e setor, as pessoas, as famílias de equipamento, os setores. Eles aparecem nas setas ▼ das outras abas.</t>
  </si>
  <si>
    <t>Criticidade</t>
  </si>
  <si>
    <t>Para cada TAG, dê nota de 1 a 5 em segurança, qualidade e produção e na frequência de falha (critérios no quadro Notas, abaixo da tabela). A classe A, B ou C sai da matriz.</t>
  </si>
  <si>
    <t>FMECA</t>
  </si>
  <si>
    <t>Comece pelas TAGs classe A. Para cada componente: modo de falha, efeito, causa e controle atual. Dê S, O e D de 1 a 10 (quadro Notas, abaixo da tabela); o NPR sai sozinho. Defina a tarefa, o tipo e a frequência.</t>
  </si>
  <si>
    <t>Plano</t>
  </si>
  <si>
    <t>As tarefas da FMECA entram sozinhas. Complete duração, se exige parada e a data da 1ª execução. Abaixo, inclua o que não vem da FMECA: lubrificação, rotinas do fabricante, inspeções legais.</t>
  </si>
  <si>
    <t>Cronograma</t>
  </si>
  <si>
    <t>Não se digita. Escolha o ano na seta: o ● marca a semana do mês de cada atividade (1ª execução + frequência) e a última linha soma as horas.</t>
  </si>
  <si>
    <r>
      <rPr>
        <sz val="10"/>
        <color rgb="FFF28C28"/>
        <rFont val="Arial Black"/>
      </rPr>
      <t xml:space="preserve">3  </t>
    </r>
    <r>
      <rPr>
        <sz val="10"/>
        <color rgb="FFFFFFFF"/>
        <rFont val="Arial Black"/>
      </rPr>
      <t>REGRAS RÁPIDAS</t>
    </r>
  </si>
  <si>
    <t>▼  Lista</t>
  </si>
  <si>
    <t>Clique na célula e escolha na seta. Valor fora da lista é recusado.</t>
  </si>
  <si>
    <t>Célula branca</t>
  </si>
  <si>
    <t>Campo para digitar.</t>
  </si>
  <si>
    <t>Célula cinza</t>
  </si>
  <si>
    <t>Cálculo automático. Não digite: a fórmula preenche sozinha.</t>
  </si>
  <si>
    <t>Datas e números</t>
  </si>
  <si>
    <t>Datas em dd/mm/aaaa; decimais com vírgula. Vazio = sem informação; zero é valor real.</t>
  </si>
  <si>
    <t>Impressão</t>
  </si>
  <si>
    <t>Cada aba já está ajustada para uma folha A4. Use Arquivo &gt; Imprimir sem mudar a escala.</t>
  </si>
  <si>
    <t>SOBRE O PCM DIRETO</t>
  </si>
  <si>
    <t>Modelos de manutenção prontos para usar, do planejamento ao controle: criticidade, plano, ordem de serviço, indicadores e auditorias. Todos no mesmo padrão, para a equipe aprender uma vez e usar em todos.</t>
  </si>
  <si>
    <t>Local ou área ▼</t>
  </si>
  <si>
    <t>Equipe da análise</t>
  </si>
  <si>
    <t>Ativos por classe</t>
  </si>
  <si>
    <t>1  Ativo</t>
  </si>
  <si>
    <t>2  Consequência (1 a 5)</t>
  </si>
  <si>
    <t>3  Probabilidade e classe</t>
  </si>
  <si>
    <t>4  Matriz: quantos ativos em cada quadrado</t>
  </si>
  <si>
    <t>6  Notas: escolha a descrição mais próxima do pior caso crível</t>
  </si>
  <si>
    <t>Nº</t>
  </si>
  <si>
    <t>TAG ▼</t>
  </si>
  <si>
    <t>Equipamento</t>
  </si>
  <si>
    <t>Família de equipamento</t>
  </si>
  <si>
    <t>Q
Qualidade</t>
  </si>
  <si>
    <t>Maior nota</t>
  </si>
  <si>
    <t>Frequência de falha</t>
  </si>
  <si>
    <t>Classe</t>
  </si>
  <si>
    <t>Estratégia sugerida</t>
  </si>
  <si>
    <t>Consequência ↓  Frequência →</t>
  </si>
  <si>
    <t>1 Rara</t>
  </si>
  <si>
    <t>2 Baixa</t>
  </si>
  <si>
    <t>3 Média</t>
  </si>
  <si>
    <t>4 Alta</t>
  </si>
  <si>
    <t>5 Muito alta</t>
  </si>
  <si>
    <t>Nota</t>
  </si>
  <si>
    <t>S
Segurança e ambiente</t>
  </si>
  <si>
    <t>P
Produção e reserva</t>
  </si>
  <si>
    <r>
      <rPr>
        <b/>
        <sz val="8"/>
        <color rgb="FFB3261E"/>
        <rFont val="Arial"/>
      </rPr>
      <t xml:space="preserve">Muito alto
</t>
    </r>
    <r>
      <rPr>
        <sz val="7.5"/>
        <color rgb="FF0E1726"/>
        <rFont val="Arial"/>
      </rPr>
      <t>Lesão grave ou morte, ou dano ambiental grande</t>
    </r>
  </si>
  <si>
    <r>
      <rPr>
        <b/>
        <sz val="8"/>
        <color rgb="FFB3261E"/>
        <rFont val="Arial"/>
      </rPr>
      <t xml:space="preserve">Muito alto
</t>
    </r>
    <r>
      <rPr>
        <sz val="7.5"/>
        <color rgb="FF0E1726"/>
        <rFont val="Arial"/>
      </rPr>
      <t>Defeito chega ao cliente ou afeta item de segurança ou legal</t>
    </r>
  </si>
  <si>
    <r>
      <rPr>
        <b/>
        <sz val="8"/>
        <color rgb="FFB3261E"/>
        <rFont val="Arial"/>
      </rPr>
      <t xml:space="preserve">Muito alto
</t>
    </r>
    <r>
      <rPr>
        <sz val="7.5"/>
        <color rgb="FF0E1726"/>
        <rFont val="Arial"/>
      </rPr>
      <t>A planta para ou uma entrega é perdida</t>
    </r>
  </si>
  <si>
    <r>
      <rPr>
        <b/>
        <sz val="8"/>
        <color rgb="FFB3261E"/>
        <rFont val="Arial"/>
      </rPr>
      <t xml:space="preserve">Muito alto
</t>
    </r>
    <r>
      <rPr>
        <sz val="7.5"/>
        <color rgb="FF0E1726"/>
        <rFont val="Arial"/>
      </rPr>
      <t>Toda semana ou mais</t>
    </r>
  </si>
  <si>
    <r>
      <rPr>
        <b/>
        <sz val="8"/>
        <color rgb="FFB3261E"/>
        <rFont val="Arial"/>
      </rPr>
      <t xml:space="preserve">Alto
</t>
    </r>
    <r>
      <rPr>
        <sz val="7.5"/>
        <color rgb="FF0E1726"/>
        <rFont val="Arial"/>
      </rPr>
      <t>Lesão com afastamento ou vazamento que sai da planta</t>
    </r>
  </si>
  <si>
    <r>
      <rPr>
        <b/>
        <sz val="8"/>
        <color rgb="FFB3261E"/>
        <rFont val="Arial"/>
      </rPr>
      <t xml:space="preserve">Alto
</t>
    </r>
    <r>
      <rPr>
        <sz val="7.5"/>
        <color rgb="FF0E1726"/>
        <rFont val="Arial"/>
      </rPr>
      <t>Defeito pode escapar para etapas seguintes ou o cliente</t>
    </r>
  </si>
  <si>
    <r>
      <rPr>
        <b/>
        <sz val="8"/>
        <color rgb="FFB3261E"/>
        <rFont val="Arial"/>
      </rPr>
      <t xml:space="preserve">Alto
</t>
    </r>
    <r>
      <rPr>
        <sz val="7.5"/>
        <color rgb="FF0E1726"/>
        <rFont val="Arial"/>
      </rPr>
      <t>A linha ou área para, sem reserva</t>
    </r>
  </si>
  <si>
    <r>
      <rPr>
        <b/>
        <sz val="8"/>
        <color rgb="FFB3261E"/>
        <rFont val="Arial"/>
      </rPr>
      <t xml:space="preserve">Alto
</t>
    </r>
    <r>
      <rPr>
        <sz val="7.5"/>
        <color rgb="FF0E1726"/>
        <rFont val="Arial"/>
      </rPr>
      <t>Cerca de uma vez por mês</t>
    </r>
  </si>
  <si>
    <t>1 Muito baixa</t>
  </si>
  <si>
    <r>
      <rPr>
        <b/>
        <sz val="8"/>
        <color rgb="FF8A5A00"/>
        <rFont val="Arial"/>
      </rPr>
      <t xml:space="preserve">Médio
</t>
    </r>
    <r>
      <rPr>
        <sz val="7.5"/>
        <color rgb="FF0E1726"/>
        <rFont val="Arial"/>
      </rPr>
      <t>Lesão com atendimento médico ou vazamento reportável</t>
    </r>
  </si>
  <si>
    <r>
      <rPr>
        <b/>
        <sz val="8"/>
        <color rgb="FF8A5A00"/>
        <rFont val="Arial"/>
      </rPr>
      <t xml:space="preserve">Médio
</t>
    </r>
    <r>
      <rPr>
        <sz val="7.5"/>
        <color rgb="FF0E1726"/>
        <rFont val="Arial"/>
      </rPr>
      <t>Perda ou retrabalho de um lote</t>
    </r>
  </si>
  <si>
    <r>
      <rPr>
        <b/>
        <sz val="8"/>
        <color rgb="FF8A5A00"/>
        <rFont val="Arial"/>
      </rPr>
      <t xml:space="preserve">Médio
</t>
    </r>
    <r>
      <rPr>
        <sz val="7.5"/>
        <color rgb="FF0E1726"/>
        <rFont val="Arial"/>
      </rPr>
      <t>A linha desacelera ou o contorno custa tempo</t>
    </r>
  </si>
  <si>
    <r>
      <rPr>
        <b/>
        <sz val="8"/>
        <color rgb="FF8A5A00"/>
        <rFont val="Arial"/>
      </rPr>
      <t xml:space="preserve">Médio
</t>
    </r>
    <r>
      <rPr>
        <sz val="7.5"/>
        <color rgb="FF0E1726"/>
        <rFont val="Arial"/>
      </rPr>
      <t>A cada 3 a 6 meses</t>
    </r>
  </si>
  <si>
    <t>Consequência = maior nota entre S, Q e P. Segurança 5 vira classe A em qualquer quadrado.</t>
  </si>
  <si>
    <r>
      <rPr>
        <b/>
        <sz val="8"/>
        <color rgb="FF5E7F1F"/>
        <rFont val="Arial"/>
      </rPr>
      <t xml:space="preserve">Baixo
</t>
    </r>
    <r>
      <rPr>
        <sz val="7.5"/>
        <color rgb="FF0E1726"/>
        <rFont val="Arial"/>
      </rPr>
      <t>Primeiros socorros ou pequeno vazamento contido</t>
    </r>
  </si>
  <si>
    <r>
      <rPr>
        <b/>
        <sz val="8"/>
        <color rgb="FF5E7F1F"/>
        <rFont val="Arial"/>
      </rPr>
      <t xml:space="preserve">Baixo
</t>
    </r>
    <r>
      <rPr>
        <sz val="7.5"/>
        <color rgb="FF0E1726"/>
        <rFont val="Arial"/>
      </rPr>
      <t>Defeito pego na máquina, pouca perda</t>
    </r>
  </si>
  <si>
    <r>
      <rPr>
        <b/>
        <sz val="8"/>
        <color rgb="FF5E7F1F"/>
        <rFont val="Arial"/>
      </rPr>
      <t xml:space="preserve">Baixo
</t>
    </r>
    <r>
      <rPr>
        <sz val="7.5"/>
        <color rgb="FF0E1726"/>
        <rFont val="Arial"/>
      </rPr>
      <t>Há reserva; pequena queda de ritmo</t>
    </r>
  </si>
  <si>
    <r>
      <rPr>
        <b/>
        <sz val="8"/>
        <color rgb="FF5E7F1F"/>
        <rFont val="Arial"/>
      </rPr>
      <t xml:space="preserve">Baixo
</t>
    </r>
    <r>
      <rPr>
        <sz val="7.5"/>
        <color rgb="FF0E1726"/>
        <rFont val="Arial"/>
      </rPr>
      <t>Cerca de uma vez por ano</t>
    </r>
  </si>
  <si>
    <t>5  Estratégia por classe (edite à vontade)</t>
  </si>
  <si>
    <t>Como usar
1. Dê a nota de 1 a 5 para S, Q e P pelo pior caso crível de falha (critérios no quadro Notas, abaixo da tabela).
2. Dê a frequência de falha de 1 a 5.
3. A classe sai da matriz e vai sozinha para a FMECA.</t>
  </si>
  <si>
    <r>
      <rPr>
        <b/>
        <sz val="8"/>
        <color rgb="FF1E7A46"/>
        <rFont val="Arial"/>
      </rPr>
      <t xml:space="preserve">Muito baixo
</t>
    </r>
    <r>
      <rPr>
        <sz val="7.5"/>
        <color rgb="FF0E1726"/>
        <rFont val="Arial"/>
      </rPr>
      <t>Sem lesão ou vazamento crível</t>
    </r>
  </si>
  <si>
    <r>
      <rPr>
        <b/>
        <sz val="8"/>
        <color rgb="FF1E7A46"/>
        <rFont val="Arial"/>
      </rPr>
      <t xml:space="preserve">Muito baixo
</t>
    </r>
    <r>
      <rPr>
        <sz val="7.5"/>
        <color rgb="FF0E1726"/>
        <rFont val="Arial"/>
      </rPr>
      <t>Sem efeito no produto</t>
    </r>
  </si>
  <si>
    <r>
      <rPr>
        <b/>
        <sz val="8"/>
        <color rgb="FF1E7A46"/>
        <rFont val="Arial"/>
      </rPr>
      <t xml:space="preserve">Muito baixo
</t>
    </r>
    <r>
      <rPr>
        <sz val="7.5"/>
        <color rgb="FF0E1726"/>
        <rFont val="Arial"/>
      </rPr>
      <t>Máquina reserva ou capacidade sobrando: sem perda</t>
    </r>
  </si>
  <si>
    <r>
      <rPr>
        <b/>
        <sz val="8"/>
        <color rgb="FF1E7A46"/>
        <rFont val="Arial"/>
      </rPr>
      <t xml:space="preserve">Muito baixo
</t>
    </r>
    <r>
      <rPr>
        <sz val="7.5"/>
        <color rgb="FF0E1726"/>
        <rFont val="Arial"/>
      </rPr>
      <t>Menos de uma vez por ano</t>
    </r>
  </si>
  <si>
    <t>A produção conta a reserva: um ativo com máquina reserva pontua menos que um sem reserva. Revise as notas quando o processo mudar.</t>
  </si>
  <si>
    <t>A</t>
  </si>
  <si>
    <t>Preditiva + preventiva</t>
  </si>
  <si>
    <t>Inspeção por condição e preventiva; peças críticas em estoque; análise de causa em toda falha.</t>
  </si>
  <si>
    <t>B</t>
  </si>
  <si>
    <t>Preventiva por tempo ou uso</t>
  </si>
  <si>
    <t>Peças conforme o prazo de entrega; revisar o plano depois de cada falha.</t>
  </si>
  <si>
    <t>C</t>
  </si>
  <si>
    <t>Corretiva planejada</t>
  </si>
  <si>
    <t>Ou operar até falhar, quando for seguro; sem estoque dedicado de peças.</t>
  </si>
  <si>
    <r>
      <rPr>
        <b/>
        <sz val="12"/>
        <color rgb="FFB3261E"/>
        <rFont val="Arial"/>
      </rPr>
      <t xml:space="preserve">● </t>
    </r>
    <r>
      <rPr>
        <b/>
        <sz val="8"/>
        <color rgb="FF6B7686"/>
        <rFont val="Arial"/>
      </rPr>
      <t xml:space="preserve">A: crítico      </t>
    </r>
    <r>
      <rPr>
        <b/>
        <sz val="12"/>
        <color rgb="FFE0A100"/>
        <rFont val="Arial"/>
      </rPr>
      <t xml:space="preserve">● </t>
    </r>
    <r>
      <rPr>
        <b/>
        <sz val="8"/>
        <color rgb="FF6B7686"/>
        <rFont val="Arial"/>
      </rPr>
      <t xml:space="preserve">B: importante      </t>
    </r>
    <r>
      <rPr>
        <b/>
        <sz val="12"/>
        <color rgb="FF1E7A46"/>
        <rFont val="Arial"/>
      </rPr>
      <t xml:space="preserve">● </t>
    </r>
    <r>
      <rPr>
        <b/>
        <sz val="8"/>
        <color rgb="FF6B7686"/>
        <rFont val="Arial"/>
      </rPr>
      <t xml:space="preserve">C: baixo impacto      </t>
    </r>
    <r>
      <rPr>
        <b/>
        <sz val="8"/>
        <color rgb="FF6B7686"/>
        <rFont val="Arial"/>
      </rPr>
      <t xml:space="preserve">S segurança · Q qualidade · P produção · cinza = calculado; a estratégia vem do quadro 5.      </t>
    </r>
  </si>
  <si>
    <t>Objetivo: Analisar os modos de falha de cada TAG e definir a tarefa de manutenção de cada um</t>
  </si>
  <si>
    <t>Área ou sistema analisado ▼</t>
  </si>
  <si>
    <t>Modos com risco alto</t>
  </si>
  <si>
    <t>Maior NPR</t>
  </si>
  <si>
    <t>1  Falha: o que pode falhar e por quê</t>
  </si>
  <si>
    <t>2  Risco</t>
  </si>
  <si>
    <t>3  Tarefa de manutenção  →  vai para o Plano</t>
  </si>
  <si>
    <t>Componente</t>
  </si>
  <si>
    <t>Modo de falha</t>
  </si>
  <si>
    <t>Efeito da falha</t>
  </si>
  <si>
    <t>Causa</t>
  </si>
  <si>
    <t>Controle atual</t>
  </si>
  <si>
    <t>Severidade (S)</t>
  </si>
  <si>
    <t>Ocorrência (O)</t>
  </si>
  <si>
    <t>Detecção (D)</t>
  </si>
  <si>
    <t>NPR</t>
  </si>
  <si>
    <t>Tarefa recomendada</t>
  </si>
  <si>
    <t>Tipo de tarefa ▼</t>
  </si>
  <si>
    <t>A cada (dias)</t>
  </si>
  <si>
    <t>Responsável ▼</t>
  </si>
  <si>
    <t>S  Severidade do efeito</t>
  </si>
  <si>
    <t>O  Ocorrência da causa</t>
  </si>
  <si>
    <t>D  Detecção pelo controle
(nota alta = difícil detectar)</t>
  </si>
  <si>
    <r>
      <rPr>
        <b/>
        <sz val="8"/>
        <color rgb="FFB3261E"/>
        <rFont val="Arial"/>
      </rPr>
      <t xml:space="preserve">Perigoso sem aviso
</t>
    </r>
    <r>
      <rPr>
        <sz val="7.5"/>
        <color rgb="FF0E1726"/>
        <rFont val="Arial"/>
      </rPr>
      <t>Afeta a segurança das pessoas ou o meio ambiente, sem aviso prévio</t>
    </r>
  </si>
  <si>
    <r>
      <rPr>
        <b/>
        <sz val="8"/>
        <color rgb="FFB3261E"/>
        <rFont val="Arial"/>
      </rPr>
      <t xml:space="preserve">Quase certa
</t>
    </r>
    <r>
      <rPr>
        <sz val="7.5"/>
        <color rgb="FF0E1726"/>
        <rFont val="Arial"/>
      </rPr>
      <t>Mais de uma vez por dia</t>
    </r>
  </si>
  <si>
    <r>
      <rPr>
        <b/>
        <sz val="8"/>
        <color rgb="FFB3261E"/>
        <rFont val="Arial"/>
      </rPr>
      <t xml:space="preserve">Quase impossível
</t>
    </r>
    <r>
      <rPr>
        <sz val="7.5"/>
        <color rgb="FF0E1726"/>
        <rFont val="Arial"/>
      </rPr>
      <t>Não há controle que detecte a falha</t>
    </r>
  </si>
  <si>
    <r>
      <rPr>
        <b/>
        <sz val="8"/>
        <color rgb="FFB3261E"/>
        <rFont val="Arial"/>
      </rPr>
      <t xml:space="preserve">Perigoso com aviso
</t>
    </r>
    <r>
      <rPr>
        <sz val="7.5"/>
        <color rgb="FF0E1726"/>
        <rFont val="Arial"/>
      </rPr>
      <t>Afeta a segurança das pessoas ou o meio ambiente, com aviso prévio</t>
    </r>
  </si>
  <si>
    <r>
      <rPr>
        <b/>
        <sz val="8"/>
        <color rgb="FFB3261E"/>
        <rFont val="Arial"/>
      </rPr>
      <t xml:space="preserve">Muito alta
</t>
    </r>
    <r>
      <rPr>
        <sz val="7.5"/>
        <color rgb="FF0E1726"/>
        <rFont val="Arial"/>
      </rPr>
      <t>A cada 3 ou 4 dias</t>
    </r>
  </si>
  <si>
    <r>
      <rPr>
        <b/>
        <sz val="8"/>
        <color rgb="FFB3261E"/>
        <rFont val="Arial"/>
      </rPr>
      <t xml:space="preserve">Muito remota
</t>
    </r>
    <r>
      <rPr>
        <sz val="7.5"/>
        <color rgb="FF0E1726"/>
        <rFont val="Arial"/>
      </rPr>
      <t>Só se percebe depois que a falha acontece</t>
    </r>
  </si>
  <si>
    <r>
      <rPr>
        <b/>
        <sz val="8"/>
        <color rgb="FFB3261E"/>
        <rFont val="Arial"/>
      </rPr>
      <t xml:space="preserve">Muito alto
</t>
    </r>
    <r>
      <rPr>
        <sz val="7.5"/>
        <color rgb="FF0E1726"/>
        <rFont val="Arial"/>
      </rPr>
      <t>Para a linha por mais de 8 h ou perde todo o lote</t>
    </r>
  </si>
  <si>
    <r>
      <rPr>
        <b/>
        <sz val="8"/>
        <color rgb="FFB3261E"/>
        <rFont val="Arial"/>
      </rPr>
      <t xml:space="preserve">Alta
</t>
    </r>
    <r>
      <rPr>
        <sz val="7.5"/>
        <color rgb="FF0E1726"/>
        <rFont val="Arial"/>
      </rPr>
      <t>Uma vez por semana</t>
    </r>
  </si>
  <si>
    <r>
      <rPr>
        <b/>
        <sz val="8"/>
        <color rgb="FFB3261E"/>
        <rFont val="Arial"/>
      </rPr>
      <t xml:space="preserve">Remota
</t>
    </r>
    <r>
      <rPr>
        <sz val="7.5"/>
        <color rgb="FF0E1726"/>
        <rFont val="Arial"/>
      </rPr>
      <t>Inspeção visual eventual, sem rotina</t>
    </r>
  </si>
  <si>
    <r>
      <rPr>
        <b/>
        <sz val="8"/>
        <color rgb="FFB3261E"/>
        <rFont val="Arial"/>
      </rPr>
      <t xml:space="preserve">Alto
</t>
    </r>
    <r>
      <rPr>
        <sz val="7.5"/>
        <color rgb="FF0E1726"/>
        <rFont val="Arial"/>
      </rPr>
      <t>Para a linha de 2 a 8 h ou gera refugo grande</t>
    </r>
  </si>
  <si>
    <r>
      <rPr>
        <b/>
        <sz val="8"/>
        <color rgb="FFB3261E"/>
        <rFont val="Arial"/>
      </rPr>
      <t xml:space="preserve">Alta
</t>
    </r>
    <r>
      <rPr>
        <sz val="7.5"/>
        <color rgb="FF0E1726"/>
        <rFont val="Arial"/>
      </rPr>
      <t>Uma vez por mês</t>
    </r>
  </si>
  <si>
    <r>
      <rPr>
        <b/>
        <sz val="8"/>
        <color rgb="FFB3261E"/>
        <rFont val="Arial"/>
      </rPr>
      <t xml:space="preserve">Muito baixa
</t>
    </r>
    <r>
      <rPr>
        <sz val="7.5"/>
        <color rgb="FF0E1726"/>
        <rFont val="Arial"/>
      </rPr>
      <t>Inspeção sem padrão nem frequência definida</t>
    </r>
  </si>
  <si>
    <r>
      <rPr>
        <b/>
        <sz val="8"/>
        <color rgb="FF8A5A00"/>
        <rFont val="Arial"/>
      </rPr>
      <t xml:space="preserve">Moderado
</t>
    </r>
    <r>
      <rPr>
        <sz val="7.5"/>
        <color rgb="FF0E1726"/>
        <rFont val="Arial"/>
      </rPr>
      <t>Para a linha por até 2 h ou gera retrabalho</t>
    </r>
  </si>
  <si>
    <r>
      <rPr>
        <b/>
        <sz val="8"/>
        <color rgb="FF8A5A00"/>
        <rFont val="Arial"/>
      </rPr>
      <t xml:space="preserve">Moderada
</t>
    </r>
    <r>
      <rPr>
        <sz val="7.5"/>
        <color rgb="FF0E1726"/>
        <rFont val="Arial"/>
      </rPr>
      <t>A cada 3 meses</t>
    </r>
  </si>
  <si>
    <r>
      <rPr>
        <b/>
        <sz val="8"/>
        <color rgb="FF8A5A00"/>
        <rFont val="Arial"/>
      </rPr>
      <t xml:space="preserve">Baixa
</t>
    </r>
    <r>
      <rPr>
        <sz val="7.5"/>
        <color rgb="FF0E1726"/>
        <rFont val="Arial"/>
      </rPr>
      <t>Inspeção sensitiva com frequência longa</t>
    </r>
  </si>
  <si>
    <r>
      <rPr>
        <b/>
        <sz val="8"/>
        <color rgb="FF8A5A00"/>
        <rFont val="Arial"/>
      </rPr>
      <t xml:space="preserve">Baixo
</t>
    </r>
    <r>
      <rPr>
        <sz val="7.5"/>
        <color rgb="FF0E1726"/>
        <rFont val="Arial"/>
      </rPr>
      <t>Reduz a velocidade ou o desempenho do equipamento</t>
    </r>
  </si>
  <si>
    <r>
      <rPr>
        <b/>
        <sz val="8"/>
        <color rgb="FF8A5A00"/>
        <rFont val="Arial"/>
      </rPr>
      <t xml:space="preserve">Moderada
</t>
    </r>
    <r>
      <rPr>
        <sz val="7.5"/>
        <color rgb="FF0E1726"/>
        <rFont val="Arial"/>
      </rPr>
      <t>A cada 6 meses</t>
    </r>
  </si>
  <si>
    <r>
      <rPr>
        <b/>
        <sz val="8"/>
        <color rgb="FF8A5A00"/>
        <rFont val="Arial"/>
      </rPr>
      <t xml:space="preserve">Moderada
</t>
    </r>
    <r>
      <rPr>
        <sz val="7.5"/>
        <color rgb="FF0E1726"/>
        <rFont val="Arial"/>
      </rPr>
      <t>Rota de inspeção sensitiva em dia</t>
    </r>
  </si>
  <si>
    <r>
      <rPr>
        <b/>
        <sz val="8"/>
        <color rgb="FF5E7F1F"/>
        <rFont val="Arial"/>
      </rPr>
      <t xml:space="preserve">Muito baixo
</t>
    </r>
    <r>
      <rPr>
        <sz val="7.5"/>
        <color rgb="FF0E1726"/>
        <rFont val="Arial"/>
      </rPr>
      <t>Exige ajuste; a operação percebe, a produção segue</t>
    </r>
  </si>
  <si>
    <r>
      <rPr>
        <b/>
        <sz val="8"/>
        <color rgb="FF5E7F1F"/>
        <rFont val="Arial"/>
      </rPr>
      <t xml:space="preserve">Moderada
</t>
    </r>
    <r>
      <rPr>
        <sz val="7.5"/>
        <color rgb="FF0E1726"/>
        <rFont val="Arial"/>
      </rPr>
      <t>Uma vez por ano</t>
    </r>
  </si>
  <si>
    <r>
      <rPr>
        <b/>
        <sz val="8"/>
        <color rgb="FF5E7F1F"/>
        <rFont val="Arial"/>
      </rPr>
      <t xml:space="preserve">Moderadamente alta
</t>
    </r>
    <r>
      <rPr>
        <sz val="7.5"/>
        <color rgb="FF0E1726"/>
        <rFont val="Arial"/>
      </rPr>
      <t>Medição periódica (folga, temperatura, nível)</t>
    </r>
  </si>
  <si>
    <r>
      <rPr>
        <b/>
        <sz val="8"/>
        <color rgb="FF5E7F1F"/>
        <rFont val="Arial"/>
      </rPr>
      <t xml:space="preserve">Menor
</t>
    </r>
    <r>
      <rPr>
        <sz val="7.5"/>
        <color rgb="FF0E1726"/>
        <rFont val="Arial"/>
      </rPr>
      <t>Pequeno incômodo, sem perda de produção</t>
    </r>
  </si>
  <si>
    <r>
      <rPr>
        <b/>
        <sz val="8"/>
        <color rgb="FF5E7F1F"/>
        <rFont val="Arial"/>
      </rPr>
      <t xml:space="preserve">Baixa
</t>
    </r>
    <r>
      <rPr>
        <sz val="7.5"/>
        <color rgb="FF0E1726"/>
        <rFont val="Arial"/>
      </rPr>
      <t>A cada 1 a 3 anos</t>
    </r>
  </si>
  <si>
    <r>
      <rPr>
        <b/>
        <sz val="8"/>
        <color rgb="FF5E7F1F"/>
        <rFont val="Arial"/>
      </rPr>
      <t xml:space="preserve">Alta
</t>
    </r>
    <r>
      <rPr>
        <sz val="7.5"/>
        <color rgb="FF0E1726"/>
        <rFont val="Arial"/>
      </rPr>
      <t>Preditiva em dia (vibração, termografia, óleo)</t>
    </r>
  </si>
  <si>
    <r>
      <rPr>
        <b/>
        <sz val="8"/>
        <color rgb="FF1E7A46"/>
        <rFont val="Arial"/>
      </rPr>
      <t xml:space="preserve">Muito menor
</t>
    </r>
    <r>
      <rPr>
        <sz val="7.5"/>
        <color rgb="FF0E1726"/>
        <rFont val="Arial"/>
      </rPr>
      <t>Quase imperceptível</t>
    </r>
  </si>
  <si>
    <r>
      <rPr>
        <b/>
        <sz val="8"/>
        <color rgb="FF1E7A46"/>
        <rFont val="Arial"/>
      </rPr>
      <t xml:space="preserve">Muito baixa
</t>
    </r>
    <r>
      <rPr>
        <sz val="7.5"/>
        <color rgb="FF0E1726"/>
        <rFont val="Arial"/>
      </rPr>
      <t>A cada 3 a 6 anos</t>
    </r>
  </si>
  <si>
    <r>
      <rPr>
        <b/>
        <sz val="8"/>
        <color rgb="FF1E7A46"/>
        <rFont val="Arial"/>
      </rPr>
      <t xml:space="preserve">Muito alta
</t>
    </r>
    <r>
      <rPr>
        <sz val="7.5"/>
        <color rgb="FF0E1726"/>
        <rFont val="Arial"/>
      </rPr>
      <t>Monitoramento contínuo com alarme</t>
    </r>
  </si>
  <si>
    <r>
      <rPr>
        <b/>
        <sz val="8"/>
        <color rgb="FF1E7A46"/>
        <rFont val="Arial"/>
      </rPr>
      <t xml:space="preserve">Nenhum
</t>
    </r>
    <r>
      <rPr>
        <sz val="7.5"/>
        <color rgb="FF0E1726"/>
        <rFont val="Arial"/>
      </rPr>
      <t>Sem efeito</t>
    </r>
  </si>
  <si>
    <r>
      <rPr>
        <b/>
        <sz val="8"/>
        <color rgb="FF1E7A46"/>
        <rFont val="Arial"/>
      </rPr>
      <t xml:space="preserve">Remota
</t>
    </r>
    <r>
      <rPr>
        <sz val="7.5"/>
        <color rgb="FF0E1726"/>
        <rFont val="Arial"/>
      </rPr>
      <t>Mais de 6 anos ou nunca ocorreu</t>
    </r>
  </si>
  <si>
    <r>
      <rPr>
        <b/>
        <sz val="8"/>
        <color rgb="FF1E7A46"/>
        <rFont val="Arial"/>
      </rPr>
      <t xml:space="preserve">Quase certa
</t>
    </r>
    <r>
      <rPr>
        <sz val="7.5"/>
        <color rgb="FF0E1726"/>
        <rFont val="Arial"/>
      </rPr>
      <t>Intertravamento ou sensor que para a máquina antes do dano</t>
    </r>
  </si>
  <si>
    <t>NPR = S × O × D. Dê as notas pelo pior caso crível; revise quando o processo ou os controles mudarem.</t>
  </si>
  <si>
    <r>
      <rPr>
        <b/>
        <sz val="8"/>
        <color rgb="FF6B7686"/>
        <rFont val="Arial"/>
      </rPr>
      <t xml:space="preserve">S severidade · O ocorrência · D detecção (nota alta = difícil detectar) · NPR = S × O × D · notas na aba Notas da FMECA.   NPR:      </t>
    </r>
    <r>
      <rPr>
        <b/>
        <sz val="12"/>
        <color rgb="FFB3261E"/>
        <rFont val="Arial"/>
      </rPr>
      <t xml:space="preserve">● </t>
    </r>
    <r>
      <rPr>
        <b/>
        <sz val="8"/>
        <color rgb="FF6B7686"/>
        <rFont val="Arial"/>
      </rPr>
      <t xml:space="preserve">Alto: 200 ou mais, ou S 9–10      </t>
    </r>
    <r>
      <rPr>
        <b/>
        <sz val="12"/>
        <color rgb="FFE0A100"/>
        <rFont val="Arial"/>
      </rPr>
      <t xml:space="preserve">● </t>
    </r>
    <r>
      <rPr>
        <b/>
        <sz val="8"/>
        <color rgb="FF6B7686"/>
        <rFont val="Arial"/>
      </rPr>
      <t xml:space="preserve">Médio: 100 a 199      </t>
    </r>
    <r>
      <rPr>
        <b/>
        <sz val="12"/>
        <color rgb="FF1E7A46"/>
        <rFont val="Arial"/>
      </rPr>
      <t xml:space="preserve">● </t>
    </r>
    <r>
      <rPr>
        <b/>
        <sz val="8"/>
        <color rgb="FF6B7686"/>
        <rFont val="Arial"/>
      </rPr>
      <t xml:space="preserve">Baixo: menos de 100      </t>
    </r>
  </si>
  <si>
    <t>Objetivo: Atividades da FMECA e outras: duração, parada, 1ª execução e próxima data</t>
  </si>
  <si>
    <t>1  Atividade: as linhas cinza vêm sozinhas da FMECA; as de baixo, digite</t>
  </si>
  <si>
    <t>2  Programação (preencha)</t>
  </si>
  <si>
    <t>Atividade</t>
  </si>
  <si>
    <t>Tipo ▼</t>
  </si>
  <si>
    <t>Duração (h)</t>
  </si>
  <si>
    <t>Exige parada ▼</t>
  </si>
  <si>
    <t>1ª execução</t>
  </si>
  <si>
    <t>Próxima</t>
  </si>
  <si>
    <t>Outras atividades (fora da FMECA): lubrificação, rotinas do fabricante, inspeções legais, calibrações</t>
  </si>
  <si>
    <r>
      <rPr>
        <b/>
        <sz val="8"/>
        <color rgb="FF6B7686"/>
        <rFont val="Arial"/>
      </rPr>
      <t xml:space="preserve">Cinza = vem da FMECA ou é calculado.      </t>
    </r>
    <r>
      <rPr>
        <b/>
        <sz val="12"/>
        <color rgb="FFE0A100"/>
        <rFont val="Arial"/>
      </rPr>
      <t xml:space="preserve">● </t>
    </r>
    <r>
      <rPr>
        <b/>
        <sz val="8"/>
        <color rgb="FF6B7686"/>
        <rFont val="Arial"/>
      </rPr>
      <t xml:space="preserve">Próxima execução nos próximos 7 dias      </t>
    </r>
    <r>
      <rPr>
        <b/>
        <sz val="12"/>
        <color rgb="FFB3261E"/>
        <rFont val="Arial"/>
      </rPr>
      <t xml:space="preserve">● </t>
    </r>
    <r>
      <rPr>
        <b/>
        <sz val="8"/>
        <color rgb="FF6B7686"/>
        <rFont val="Arial"/>
      </rPr>
      <t xml:space="preserve">Exige parada da máquina      </t>
    </r>
  </si>
  <si>
    <t>Objetivo: Semanas de cada mês em que cada atividade do Plano deve ser feita</t>
  </si>
  <si>
    <t>Ano ▼</t>
  </si>
  <si>
    <t>Semana de hoje</t>
  </si>
  <si>
    <t>Atividades na semana de hoje</t>
  </si>
  <si>
    <t>Horas planejadas no ano</t>
  </si>
  <si>
    <t>Atividade (vem do Plano)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</si>
  <si>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</si>
  <si>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</si>
  <si>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</si>
  <si>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</si>
  <si>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</si>
  <si>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</si>
  <si>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</si>
  <si>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</si>
  <si>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</si>
  <si>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</si>
  <si>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</si>
  <si>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</si>
  <si>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TAG</t>
  </si>
  <si>
    <t>Outras atividades (fora da FMECA)</t>
  </si>
  <si>
    <t>Horas planejadas na semana</t>
  </si>
  <si>
    <r>
      <rPr>
        <b/>
        <sz val="12"/>
        <color rgb="FF0B2A5B"/>
        <rFont val="Arial"/>
      </rPr>
      <t xml:space="preserve">● </t>
    </r>
    <r>
      <rPr>
        <b/>
        <sz val="8"/>
        <color rgb="FF6B7686"/>
        <rFont val="Arial"/>
      </rPr>
      <t xml:space="preserve">atividade com data na semana      </t>
    </r>
    <r>
      <rPr>
        <b/>
        <sz val="8"/>
        <color rgb="FF6B7686"/>
        <rFont val="Arial"/>
      </rPr>
      <t xml:space="preserve">Semanas do mês: 1 = dias 1 a 7 · 2 = 8 a 14 · 3 = 15 a 21 · 4 = 22 a 28 · 5 = 29 ao fim do mês. Ano em branco = ano atual. Tudo vem do Plano; não digite nesta aba.      </t>
    </r>
  </si>
  <si>
    <t>Objetivo: Cadastre aqui os itens usados nas listas (▼) das outras abas.</t>
  </si>
  <si>
    <t>Família de equipamento ▼</t>
  </si>
  <si>
    <t>Setor ▼</t>
  </si>
  <si>
    <t>Responsável</t>
  </si>
  <si>
    <t>Setor</t>
  </si>
  <si>
    <t>tag</t>
  </si>
  <si>
    <t>descricao_ativo</t>
  </si>
  <si>
    <t>familia</t>
  </si>
  <si>
    <t>setor</t>
  </si>
  <si>
    <t>nome_pessoa</t>
  </si>
  <si>
    <t>nome_familia</t>
  </si>
  <si>
    <t>nome_setor</t>
  </si>
  <si>
    <t xml:space="preserve"> </t>
  </si>
  <si>
    <t>Revisões</t>
  </si>
  <si>
    <t>Objetivo: Registre cada alteração do modelo; a última linha alimenta Rev. e data do cabeçalho.</t>
  </si>
  <si>
    <t>Rev</t>
  </si>
  <si>
    <t>Data</t>
  </si>
  <si>
    <t>Descrição da alteração</t>
  </si>
  <si>
    <t>revisao</t>
  </si>
  <si>
    <t>data_revisao</t>
  </si>
  <si>
    <t>descricao_alteracao</t>
  </si>
  <si>
    <t>elaborado_por</t>
  </si>
  <si>
    <t>aprovado_por</t>
  </si>
  <si>
    <t>00</t>
  </si>
  <si>
    <t>Emissão inicial</t>
  </si>
  <si>
    <t>4  Notas de 1 a 10 para (S) Severidade, (O) Ocorência e (D) Detecção</t>
  </si>
  <si>
    <t>(S)
Segurança</t>
  </si>
  <si>
    <t>(Q)
Qualidade</t>
  </si>
  <si>
    <t>(P)
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</si>
</sst>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B  ·  &quot;0;;&quot;B&quot;"/>
    <numFmt numFmtId="165" formatCode="&quot;A  ·  &quot;0;;&quot;A&quot;"/>
    <numFmt numFmtId="166" formatCode="&quot;C  ·  &quot;0;;&quot;C&quot;"/>
    <numFmt numFmtId="167" formatCode="dd/mm/yy"/>
    <numFmt numFmtId="168" formatCode="0.0"/>
    <numFmt numFmtId="169" formatCode="dd/mm"/>
    <numFmt numFmtId="170" formatCode="0.0&quot; h&quot;"/>
    <numFmt numFmtId="171" formatCode="0.#"/>
  </numFmts>
  <fonts count="56">
    <font>
      <sz val="11"/>
      <color theme="1"/>
      <name val="Calibri"/>
      <family val="2"/>
      <scheme val="minor"/>
    </font>
    <font>
      <b/>
      <sz val="7.5"/>
      <color rgb="FF6B7686"/>
      <name val="Arial"/>
    </font>
    <font>
      <b/>
      <sz val="10"/>
      <color rgb="FF0E1726"/>
      <name val="Arial"/>
    </font>
    <font>
      <b/>
      <sz val="9"/>
      <color rgb="FFFFFFFF"/>
      <name val="Arial"/>
    </font>
    <font>
      <b/>
      <sz val="8.5"/>
      <color rgb="FFFFFFFF"/>
      <name val="Arial"/>
    </font>
    <font>
      <sz val="8.5"/>
      <color rgb="FF0E1726"/>
      <name val="Arial"/>
    </font>
    <font>
      <b/>
      <sz val="8.5"/>
      <color rgb="FF0E1726"/>
      <name val="Arial"/>
    </font>
    <font>
      <sz val="8"/>
      <color rgb="FF0E1726"/>
      <name val="Arial"/>
    </font>
    <font>
      <b/>
      <sz val="8"/>
      <color rgb="FF6B7686"/>
      <name val="Arial"/>
    </font>
    <font>
      <b/>
      <sz val="11"/>
      <color rgb="FF0E1726"/>
      <name val="Arial"/>
    </font>
    <font>
      <b/>
      <sz val="7"/>
      <color rgb="FFFFFFFF"/>
      <name val="Arial"/>
    </font>
    <font>
      <b/>
      <sz val="8"/>
      <color rgb="FFFFFFFF"/>
      <name val="Arial"/>
    </font>
    <font>
      <b/>
      <sz val="11"/>
      <color rgb="FF8A5A00"/>
      <name val="Arial"/>
    </font>
    <font>
      <b/>
      <sz val="11"/>
      <color rgb="FFB3261E"/>
      <name val="Arial"/>
    </font>
    <font>
      <b/>
      <sz val="11"/>
      <color rgb="FF1E7A46"/>
      <name val="Arial"/>
    </font>
    <font>
      <i/>
      <sz val="7.5"/>
      <color rgb="FF6B7686"/>
      <name val="Arial"/>
    </font>
    <font>
      <b/>
      <sz val="16"/>
      <color rgb="FFB3261E"/>
      <name val="Arial Black"/>
    </font>
    <font>
      <b/>
      <sz val="9.5"/>
      <color rgb="FF0B2A5B"/>
      <name val="Arial"/>
    </font>
    <font>
      <b/>
      <sz val="16"/>
      <color rgb="FF8A5A00"/>
      <name val="Arial Black"/>
    </font>
    <font>
      <b/>
      <sz val="16"/>
      <color rgb="FF1E7A46"/>
      <name val="Arial Black"/>
    </font>
    <font>
      <sz val="9"/>
      <color rgb="FF0E1726"/>
      <name val="Arial"/>
    </font>
    <font>
      <sz val="20"/>
      <color rgb="FF0E1726"/>
      <name val="Arial Black"/>
    </font>
    <font>
      <sz val="8"/>
      <color rgb="FF4A5668"/>
      <name val="Arial"/>
    </font>
    <font>
      <sz val="10"/>
      <color rgb="FF0E1726"/>
      <name val="Arial Black"/>
    </font>
    <font>
      <b/>
      <sz val="12"/>
      <color rgb="FF0E1726"/>
      <name val="Arial"/>
    </font>
    <font>
      <b/>
      <sz val="8.5"/>
      <color rgb="FF0B2A5B"/>
      <name val="Arial"/>
    </font>
    <font>
      <b/>
      <sz val="8"/>
      <color rgb="FF0E1726"/>
      <name val="Arial"/>
    </font>
    <font>
      <b/>
      <sz val="9"/>
      <color rgb="FF0B2A5B"/>
      <name val="Arial"/>
    </font>
    <font>
      <b/>
      <sz val="7"/>
      <color rgb="FF0E1726"/>
      <name val="Arial"/>
    </font>
    <font>
      <sz val="7"/>
      <color rgb="FF8A94A6"/>
      <name val="Arial"/>
    </font>
    <font>
      <sz val="16"/>
      <color rgb="FF0B2A5B"/>
      <name val="Arial Black"/>
    </font>
    <font>
      <i/>
      <sz val="8"/>
      <color rgb="FF4A5668"/>
      <name val="Arial"/>
    </font>
    <font>
      <u/>
      <sz val="12"/>
      <color rgb="FF1F5AA6"/>
      <name val="Arial Black"/>
    </font>
    <font>
      <sz val="10"/>
      <color rgb="FFFFFFFF"/>
      <name val="Arial Black"/>
    </font>
    <font>
      <b/>
      <sz val="9"/>
      <color rgb="FF0E1726"/>
      <name val="Arial"/>
    </font>
    <font>
      <i/>
      <sz val="8"/>
      <color rgb="FF6B7686"/>
      <name val="Arial"/>
    </font>
    <font>
      <b/>
      <sz val="8"/>
      <color rgb="FFB85600"/>
      <name val="Arial"/>
    </font>
    <font>
      <b/>
      <u/>
      <sz val="9"/>
      <color rgb="FF1F5AA6"/>
      <name val="Arial"/>
    </font>
    <font>
      <sz val="10"/>
      <color rgb="FF0B2A5B"/>
      <name val="Arial Black"/>
    </font>
    <font>
      <u/>
      <sz val="10"/>
      <color rgb="FF1F5AA6"/>
      <name val="Arial Black"/>
    </font>
    <font>
      <sz val="8.5"/>
      <color rgb="FF4A5668"/>
      <name val="Arial"/>
    </font>
    <font>
      <b/>
      <sz val="12"/>
      <color rgb="FFB3261E"/>
      <name val="Arial Black"/>
    </font>
    <font>
      <b/>
      <sz val="12"/>
      <color rgb="FF8A5A00"/>
      <name val="Arial Black"/>
    </font>
    <font>
      <b/>
      <sz val="12"/>
      <color rgb="FF5E7F1F"/>
      <name val="Arial Black"/>
    </font>
    <font>
      <b/>
      <sz val="12"/>
      <color rgb="FF1E7A46"/>
      <name val="Arial Black"/>
    </font>
    <font>
      <sz val="14"/>
      <color rgb="FFF28C28"/>
      <name val="Arial Black"/>
    </font>
    <font>
      <sz val="10"/>
      <color rgb="FFF28C28"/>
      <name val="Arial Black"/>
    </font>
    <font>
      <b/>
      <sz val="8"/>
      <color rgb="FFB3261E"/>
      <name val="Arial"/>
    </font>
    <font>
      <sz val="7.5"/>
      <color rgb="FF0E1726"/>
      <name val="Arial"/>
    </font>
    <font>
      <b/>
      <sz val="8"/>
      <color rgb="FF8A5A00"/>
      <name val="Arial"/>
    </font>
    <font>
      <b/>
      <sz val="8"/>
      <color rgb="FF5E7F1F"/>
      <name val="Arial"/>
    </font>
    <font>
      <b/>
      <sz val="8"/>
      <color rgb="FF1E7A46"/>
      <name val="Arial"/>
    </font>
    <font>
      <b/>
      <sz val="12"/>
      <color rgb="FFB3261E"/>
      <name val="Arial"/>
    </font>
    <font>
      <b/>
      <sz val="12"/>
      <color rgb="FFE0A100"/>
      <name val="Arial"/>
    </font>
    <font>
      <b/>
      <sz val="12"/>
      <color rgb="FF1E7A46"/>
      <name val="Arial"/>
    </font>
    <font>
      <b/>
      <sz val="12"/>
      <color rgb="FF0B2A5B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CEFF3"/>
      </patternFill>
    </fill>
    <fill>
      <patternFill patternType="solid">
        <fgColor rgb="FF1F5AA6"/>
      </patternFill>
    </fill>
    <fill>
      <patternFill patternType="solid">
        <fgColor rgb="FF0B2A5B"/>
      </patternFill>
    </fill>
    <fill>
      <patternFill patternType="solid">
        <fgColor rgb="FFFFF3DC"/>
      </patternFill>
    </fill>
    <fill>
      <patternFill patternType="solid">
        <fgColor rgb="FFF8D7D3"/>
      </patternFill>
    </fill>
    <fill>
      <patternFill patternType="solid">
        <fgColor rgb="FFE6F4E8"/>
      </patternFill>
    </fill>
    <fill>
      <patternFill patternType="solid">
        <fgColor rgb="FFE1ECF6"/>
      </patternFill>
    </fill>
    <fill>
      <patternFill patternType="solid">
        <fgColor rgb="FFEAF1FB"/>
      </patternFill>
    </fill>
    <fill>
      <patternFill patternType="solid">
        <fgColor rgb="FFF6F8FB"/>
      </patternFill>
    </fill>
    <fill>
      <patternFill patternType="solid">
        <fgColor rgb="FFFDECEA"/>
      </patternFill>
    </fill>
    <fill>
      <patternFill patternType="solid">
        <fgColor rgb="FFF1F6DA"/>
      </patternFill>
    </fill>
  </fills>
  <borders count="72">
    <border>
      <left/>
      <right/>
      <top/>
      <bottom/>
      <diagonal/>
    </border>
    <border>
      <left style="thin">
        <color rgb="FFD3DEEC"/>
      </left>
      <right/>
      <top style="thin">
        <color rgb="FFD3DEEC"/>
      </top>
      <bottom/>
      <diagonal/>
    </border>
    <border>
      <left/>
      <right/>
      <top style="thin">
        <color rgb="FFD3DEEC"/>
      </top>
      <bottom/>
      <diagonal/>
    </border>
    <border>
      <left style="thin">
        <color rgb="FFD3DEEC"/>
      </left>
      <right/>
      <top/>
      <bottom style="thin">
        <color rgb="FFD3DEEC"/>
      </bottom>
      <diagonal/>
    </border>
    <border>
      <left/>
      <right/>
      <top/>
      <bottom style="thin">
        <color rgb="FFD3DEEC"/>
      </bottom>
      <diagonal/>
    </border>
    <border>
      <left/>
      <right style="thin">
        <color rgb="FFD3DEEC"/>
      </right>
      <top/>
      <bottom style="thin">
        <color rgb="FFD3DEEC"/>
      </bottom>
      <diagonal/>
    </border>
    <border>
      <left/>
      <right/>
      <top style="thin">
        <color rgb="FFD3DEEC"/>
      </top>
      <bottom/>
      <diagonal/>
    </border>
    <border>
      <left/>
      <right/>
      <top/>
      <bottom style="thin">
        <color rgb="FFD3DEEC"/>
      </bottom>
      <diagonal/>
    </border>
    <border>
      <left/>
      <right/>
      <top style="thin">
        <color rgb="FFD3DEEC"/>
      </top>
      <bottom style="thin">
        <color rgb="FFD3DEEC"/>
      </bottom>
      <diagonal/>
    </border>
    <border>
      <left/>
      <right style="thin">
        <color rgb="FFD3DEEC"/>
      </right>
      <top style="thin">
        <color rgb="FFD3DEEC"/>
      </top>
      <bottom style="thin">
        <color rgb="FFD3DEEC"/>
      </bottom>
      <diagonal/>
    </border>
    <border>
      <left/>
      <right style="thin">
        <color rgb="FFD3DEEC"/>
      </right>
      <top style="thin">
        <color rgb="FFD3DEEC"/>
      </top>
      <bottom/>
      <diagonal/>
    </border>
    <border>
      <left/>
      <right style="thin">
        <color rgb="FFD3DEEC"/>
      </right>
      <top/>
      <bottom/>
      <diagonal/>
    </border>
    <border>
      <left/>
      <right style="thin">
        <color rgb="FFD3DEEC"/>
      </right>
      <top/>
      <bottom style="thin">
        <color rgb="FFD3DEEC"/>
      </bottom>
      <diagonal/>
    </border>
    <border>
      <left style="thin">
        <color rgb="FFD3DEEC"/>
      </left>
      <right/>
      <top/>
      <bottom/>
      <diagonal/>
    </border>
    <border>
      <left/>
      <right/>
      <top/>
      <bottom/>
      <diagonal/>
    </border>
    <border>
      <left/>
      <right style="thin">
        <color rgb="FFD3DEEC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3DEEC"/>
      </left>
      <right style="thin">
        <color rgb="FFD3DEEC"/>
      </right>
      <top style="thin">
        <color rgb="FFD3DEEC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EEC"/>
      </left>
      <right style="thin">
        <color rgb="FFD3DEEC"/>
      </right>
      <top/>
      <bottom style="thin">
        <color rgb="FFD3DEEC"/>
      </bottom>
      <diagonal/>
    </border>
    <border>
      <left style="thin">
        <color rgb="FFD3DEEC"/>
      </left>
      <right/>
      <top/>
      <bottom/>
      <diagonal/>
    </border>
    <border>
      <left style="thin">
        <color rgb="FFD3DEEC"/>
      </left>
      <right/>
      <top/>
      <bottom style="thin">
        <color rgb="FFD3DEEC"/>
      </bottom>
      <diagonal/>
    </border>
    <border>
      <left style="thin">
        <color rgb="FF0B2A5B"/>
      </left>
      <right/>
      <top style="thin">
        <color rgb="FF0B2A5B"/>
      </top>
      <bottom/>
      <diagonal/>
    </border>
    <border>
      <left/>
      <right/>
      <top style="thin">
        <color rgb="FF0B2A5B"/>
      </top>
      <bottom/>
      <diagonal/>
    </border>
    <border>
      <left/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/>
      <top/>
      <bottom style="thin">
        <color rgb="FF0B2A5B"/>
      </bottom>
      <diagonal/>
    </border>
    <border>
      <left/>
      <right/>
      <top/>
      <bottom style="thin">
        <color rgb="FF0B2A5B"/>
      </bottom>
      <diagonal/>
    </border>
    <border>
      <left/>
      <right style="thin">
        <color rgb="FF0B2A5B"/>
      </right>
      <top/>
      <bottom style="thin">
        <color rgb="FF0B2A5B"/>
      </bottom>
      <diagonal/>
    </border>
    <border>
      <left style="thin">
        <color rgb="FFFFFFFF"/>
      </left>
      <right/>
      <top style="thin">
        <color rgb="FFD3DEEC"/>
      </top>
      <bottom/>
      <diagonal/>
    </border>
    <border>
      <left style="thin">
        <color rgb="FFFFFFFF"/>
      </left>
      <right style="thin">
        <color rgb="FFD3DEEC"/>
      </right>
      <top/>
      <bottom/>
      <diagonal/>
    </border>
    <border>
      <left style="thin">
        <color rgb="FFD3DEEC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D3DEEC"/>
      </right>
      <top style="thin">
        <color rgb="FFFFFFFF"/>
      </top>
      <bottom style="thin">
        <color rgb="FFFFFFFF"/>
      </bottom>
      <diagonal/>
    </border>
    <border>
      <left style="thin">
        <color rgb="FF0B2A5B"/>
      </left>
      <right/>
      <top/>
      <bottom style="thin">
        <color rgb="FFD3DEEC"/>
      </bottom>
      <diagonal/>
    </border>
    <border>
      <left style="thin">
        <color rgb="FF8C9BB5"/>
      </left>
      <right/>
      <top/>
      <bottom style="thin">
        <color rgb="FFD3DEEC"/>
      </bottom>
      <diagonal/>
    </border>
    <border>
      <left style="thin">
        <color rgb="FFD3DEEC"/>
      </left>
      <right style="thin">
        <color rgb="FF0B2A5B"/>
      </right>
      <top/>
      <bottom style="thin">
        <color rgb="FFD3DEEC"/>
      </bottom>
      <diagonal/>
    </border>
    <border>
      <left style="thin">
        <color rgb="FFD3DEEC"/>
      </left>
      <right/>
      <top style="thin">
        <color rgb="FF0B2A5B"/>
      </top>
      <bottom style="thin">
        <color rgb="FFD3DEEC"/>
      </bottom>
      <diagonal/>
    </border>
    <border>
      <left style="thin">
        <color rgb="FF8C9BB5"/>
      </left>
      <right/>
      <top style="thin">
        <color rgb="FF0B2A5B"/>
      </top>
      <bottom style="thin">
        <color rgb="FFD3DEEC"/>
      </bottom>
      <diagonal/>
    </border>
    <border>
      <left style="thin">
        <color rgb="FFD3DEEC"/>
      </left>
      <right style="thin">
        <color rgb="FFD3DEEC"/>
      </right>
      <top style="thin">
        <color rgb="FF0B2A5B"/>
      </top>
      <bottom style="thin">
        <color rgb="FFD3DEEC"/>
      </bottom>
      <diagonal/>
    </border>
    <border>
      <left/>
      <right style="thin">
        <color rgb="FF0B2A5B"/>
      </right>
      <top/>
      <bottom style="thin">
        <color rgb="FFD3DEEC"/>
      </bottom>
      <diagonal/>
    </border>
    <border>
      <left style="thin">
        <color rgb="FF0B2A5B"/>
      </left>
      <right style="thin">
        <color rgb="FFD3DEEC"/>
      </right>
      <top/>
      <bottom style="thin">
        <color rgb="FFD3DEEC"/>
      </bottom>
      <diagonal/>
    </border>
    <border>
      <left style="thin">
        <color rgb="FF0B2A5B"/>
      </left>
      <right style="thin">
        <color rgb="FFD3DEEC"/>
      </right>
      <top/>
      <bottom style="thin">
        <color rgb="FF0B2A5B"/>
      </bottom>
      <diagonal/>
    </border>
    <border>
      <left style="thin">
        <color rgb="FFD3DEEC"/>
      </left>
      <right style="thin">
        <color rgb="FFD3DEEC"/>
      </right>
      <top/>
      <bottom style="thin">
        <color rgb="FF0B2A5B"/>
      </bottom>
      <diagonal/>
    </border>
    <border>
      <left style="thin">
        <color rgb="FFD3DEEC"/>
      </left>
      <right style="thin">
        <color rgb="FF0B2A5B"/>
      </right>
      <top/>
      <bottom style="thin">
        <color rgb="FF0B2A5B"/>
      </bottom>
      <diagonal/>
    </border>
    <border>
      <left style="thin">
        <color rgb="FF0B2A5B"/>
      </left>
      <right style="thin">
        <color rgb="FF0B2A5B"/>
      </right>
      <top/>
      <bottom style="thin">
        <color rgb="FFD3DEEC"/>
      </bottom>
      <diagonal/>
    </border>
    <border>
      <left style="thin">
        <color rgb="FF0B2A5B"/>
      </left>
      <right style="thin">
        <color rgb="FF0B2A5B"/>
      </right>
      <top/>
      <bottom style="thin">
        <color rgb="FF0B2A5B"/>
      </bottom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/>
      <right/>
      <top/>
      <bottom style="thick">
        <color rgb="FFF28C28"/>
      </bottom>
      <diagonal/>
    </border>
    <border>
      <left style="medium">
        <color rgb="FFFFFFFF"/>
      </left>
      <right/>
      <top style="medium">
        <color rgb="FF0B2A5B"/>
      </top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 style="medium">
        <color rgb="FF0B2A5B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0B2A5B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D3DEEC"/>
      </left>
      <right style="thin">
        <color rgb="FFD3DEEC"/>
      </right>
      <top style="thin">
        <color rgb="FFD3DEEC"/>
      </top>
      <bottom style="thin">
        <color rgb="FFD3DEEC"/>
      </bottom>
      <diagonal/>
    </border>
    <border>
      <left/>
      <right/>
      <top/>
      <bottom style="thin">
        <color rgb="FFFFFFFF"/>
      </bottom>
      <diagonal/>
    </border>
    <border>
      <left/>
      <right/>
      <top style="medium">
        <color rgb="FF0B2A5B"/>
      </top>
      <bottom/>
      <diagonal/>
    </border>
    <border>
      <left/>
      <right/>
      <top style="thin">
        <color rgb="FFD3DEEC"/>
      </top>
      <bottom style="thin">
        <color rgb="FFD3DEEC"/>
      </bottom>
      <diagonal/>
    </border>
    <border>
      <left/>
      <right style="thin">
        <color rgb="FFD3DEEC"/>
      </right>
      <top style="thin">
        <color rgb="FFD3DEEC"/>
      </top>
      <bottom style="thin">
        <color rgb="FFD3DEEC"/>
      </bottom>
      <diagonal/>
    </border>
    <border>
      <left/>
      <right/>
      <top style="thin">
        <color rgb="FFD3DEEC"/>
      </top>
      <bottom/>
      <diagonal/>
    </border>
    <border>
      <left style="thin">
        <color rgb="FFD3DEEC"/>
      </left>
      <right/>
      <top style="thin">
        <color rgb="FFD3DEEC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 style="thin">
        <color rgb="FF0B2A5B"/>
      </bottom>
      <diagonal/>
    </border>
    <border>
      <left/>
      <right/>
      <top style="thin">
        <color rgb="FF0B2A5B"/>
      </top>
      <bottom/>
      <diagonal/>
    </border>
    <border>
      <left/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/>
      <top/>
      <bottom style="thin">
        <color rgb="FF0B2A5B"/>
      </bottom>
      <diagonal/>
    </border>
    <border>
      <left/>
      <right/>
      <top/>
      <bottom style="thin">
        <color rgb="FF0B2A5B"/>
      </bottom>
      <diagonal/>
    </border>
    <border>
      <left/>
      <right style="thin">
        <color rgb="FF0B2A5B"/>
      </right>
      <top/>
      <bottom style="thin">
        <color rgb="FF0B2A5B"/>
      </bottom>
      <diagonal/>
    </border>
    <border>
      <left/>
      <right style="thin">
        <color rgb="FFD3DEEC"/>
      </right>
      <top/>
      <bottom/>
      <diagonal/>
    </border>
    <border>
      <left style="thin">
        <color rgb="FFD3DEEC"/>
      </left>
      <right style="thin">
        <color rgb="FFD3DEEC"/>
      </right>
      <top/>
      <bottom/>
      <diagonal/>
    </border>
    <border>
      <left/>
      <right style="thin">
        <color rgb="FFD3DEEC"/>
      </right>
      <top style="thin">
        <color rgb="FFD3DEEC"/>
      </top>
      <bottom/>
      <diagonal/>
    </border>
    <border>
      <left style="thin">
        <color rgb="FFFFFFFF"/>
      </left>
      <right style="thin">
        <color rgb="FFD3DEEC"/>
      </right>
      <top style="thin">
        <color rgb="FFD3DEEC"/>
      </top>
      <bottom/>
      <diagonal/>
    </border>
    <border>
      <left/>
      <right/>
      <top style="thin">
        <color rgb="FF0B2A5B"/>
      </top>
      <bottom style="thin">
        <color rgb="FFD3DEEC"/>
      </bottom>
      <diagonal/>
    </border>
    <border>
      <left style="thin">
        <color rgb="FFFFFFFF"/>
      </left>
      <right/>
      <top/>
      <bottom style="thin">
        <color rgb="FFD3DEEC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22" fillId="0" borderId="0" xfId="0" applyFont="1" applyAlignment="1">
      <alignment horizontal="right"/>
    </xf>
    <xf numFmtId="0" fontId="32" fillId="0" borderId="0" xfId="0" applyFont="1" applyAlignment="1">
      <alignment horizontal="right" vertical="center"/>
    </xf>
    <xf numFmtId="0" fontId="31" fillId="0" borderId="46" xfId="0" applyFont="1" applyBorder="1" applyAlignment="1">
      <alignment horizontal="right" vertical="top"/>
    </xf>
    <xf numFmtId="0" fontId="0" fillId="10" borderId="51" xfId="0" applyFill="1" applyBorder="1" applyAlignment="1">
      <alignment vertical="center" indent="1"/>
    </xf>
    <xf numFmtId="0" fontId="5" fillId="10" borderId="52" xfId="0" applyFont="1" applyFill="1" applyBorder="1" applyAlignment="1">
      <alignment vertical="top" wrapText="1" indent="1"/>
    </xf>
    <xf numFmtId="0" fontId="35" fillId="2" borderId="9" xfId="0" applyFont="1" applyFill="1" applyBorder="1" applyAlignment="1">
      <alignment vertical="center" indent="1"/>
    </xf>
    <xf numFmtId="0" fontId="36" fillId="2" borderId="9" xfId="0" applyFont="1" applyFill="1" applyBorder="1" applyAlignment="1">
      <alignment vertical="center" indent="1"/>
    </xf>
    <xf numFmtId="0" fontId="33" fillId="4" borderId="54" xfId="0" applyFont="1" applyFill="1" applyBorder="1" applyAlignment="1">
      <alignment horizontal="center" vertical="center"/>
    </xf>
    <xf numFmtId="0" fontId="37" fillId="0" borderId="4" xfId="0" applyFont="1" applyBorder="1" applyAlignment="1">
      <alignment vertical="center" wrapText="1" indent="1"/>
    </xf>
    <xf numFmtId="0" fontId="39" fillId="11" borderId="55" xfId="0" applyFont="1" applyFill="1" applyBorder="1" applyAlignment="1">
      <alignment horizontal="right" indent="1"/>
    </xf>
    <xf numFmtId="0" fontId="0" fillId="2" borderId="2" xfId="0" applyFill="1" applyBorder="1"/>
    <xf numFmtId="0" fontId="0" fillId="2" borderId="0" xfId="0" applyFill="1"/>
    <xf numFmtId="0" fontId="0" fillId="2" borderId="4" xfId="0" applyFill="1" applyBorder="1"/>
    <xf numFmtId="0" fontId="4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 indent="1"/>
    </xf>
    <xf numFmtId="0" fontId="7" fillId="3" borderId="3" xfId="0" applyFont="1" applyFill="1" applyBorder="1" applyAlignment="1">
      <alignment horizontal="left" vertical="center" wrapText="1" indent="1"/>
    </xf>
    <xf numFmtId="0" fontId="9" fillId="2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 indent="1"/>
    </xf>
    <xf numFmtId="0" fontId="11" fillId="5" borderId="30" xfId="0" applyFont="1" applyFill="1" applyBorder="1" applyAlignment="1">
      <alignment horizontal="left" vertical="center" wrapText="1" indent="1"/>
    </xf>
    <xf numFmtId="164" fontId="12" fillId="6" borderId="18" xfId="0" applyNumberFormat="1" applyFont="1" applyFill="1" applyBorder="1" applyAlignment="1">
      <alignment horizontal="center" vertical="center"/>
    </xf>
    <xf numFmtId="165" fontId="13" fillId="7" borderId="18" xfId="0" applyNumberFormat="1" applyFont="1" applyFill="1" applyBorder="1" applyAlignment="1">
      <alignment horizontal="center" vertical="center"/>
    </xf>
    <xf numFmtId="165" fontId="13" fillId="7" borderId="31" xfId="0" applyNumberFormat="1" applyFont="1" applyFill="1" applyBorder="1" applyAlignment="1">
      <alignment horizontal="center" vertical="center"/>
    </xf>
    <xf numFmtId="166" fontId="14" fillId="8" borderId="18" xfId="0" applyNumberFormat="1" applyFont="1" applyFill="1" applyBorder="1" applyAlignment="1">
      <alignment horizontal="center" vertical="center"/>
    </xf>
    <xf numFmtId="164" fontId="12" fillId="6" borderId="3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left" vertical="center" wrapText="1" indent="1"/>
    </xf>
    <xf numFmtId="0" fontId="41" fillId="7" borderId="4" xfId="0" applyFont="1" applyFill="1" applyBorder="1" applyAlignment="1">
      <alignment horizontal="center" vertical="center"/>
    </xf>
    <xf numFmtId="0" fontId="0" fillId="2" borderId="71" xfId="0" applyFill="1" applyBorder="1" applyAlignment="1">
      <alignment horizontal="left" vertical="center" wrapText="1" indent="1"/>
    </xf>
    <xf numFmtId="0" fontId="41" fillId="12" borderId="4" xfId="0" applyFont="1" applyFill="1" applyBorder="1" applyAlignment="1">
      <alignment horizontal="center" vertical="center"/>
    </xf>
    <xf numFmtId="0" fontId="42" fillId="6" borderId="4" xfId="0" applyFont="1" applyFill="1" applyBorder="1" applyAlignment="1">
      <alignment horizontal="center" vertical="center"/>
    </xf>
    <xf numFmtId="0" fontId="43" fillId="13" borderId="4" xfId="0" applyFont="1" applyFill="1" applyBorder="1" applyAlignment="1">
      <alignment horizontal="center" vertical="center"/>
    </xf>
    <xf numFmtId="0" fontId="44" fillId="8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horizontal="center" vertical="center" wrapText="1"/>
    </xf>
    <xf numFmtId="168" fontId="5" fillId="2" borderId="3" xfId="0" applyNumberFormat="1" applyFont="1" applyFill="1" applyBorder="1" applyAlignment="1">
      <alignment horizontal="center" vertical="center" wrapText="1"/>
    </xf>
    <xf numFmtId="167" fontId="5" fillId="2" borderId="3" xfId="0" applyNumberFormat="1" applyFont="1" applyFill="1" applyBorder="1" applyAlignment="1">
      <alignment horizontal="center" vertical="center" wrapText="1"/>
    </xf>
    <xf numFmtId="167" fontId="6" fillId="3" borderId="19" xfId="0" applyNumberFormat="1" applyFont="1" applyFill="1" applyBorder="1" applyAlignment="1">
      <alignment horizontal="center" vertical="center" wrapText="1"/>
    </xf>
    <xf numFmtId="169" fontId="0" fillId="2" borderId="0" xfId="0" applyNumberFormat="1" applyFill="1"/>
    <xf numFmtId="0" fontId="10" fillId="5" borderId="16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2" borderId="19" xfId="0" applyFont="1" applyFill="1" applyBorder="1" applyAlignment="1">
      <alignment horizontal="center" vertical="center"/>
    </xf>
    <xf numFmtId="171" fontId="28" fillId="3" borderId="35" xfId="0" applyNumberFormat="1" applyFont="1" applyFill="1" applyBorder="1" applyAlignment="1">
      <alignment horizontal="center" vertical="center" textRotation="90"/>
    </xf>
    <xf numFmtId="171" fontId="28" fillId="3" borderId="36" xfId="0" applyNumberFormat="1" applyFont="1" applyFill="1" applyBorder="1" applyAlignment="1">
      <alignment horizontal="center" vertical="center" textRotation="90"/>
    </xf>
    <xf numFmtId="171" fontId="28" fillId="3" borderId="37" xfId="0" applyNumberFormat="1" applyFont="1" applyFill="1" applyBorder="1" applyAlignment="1">
      <alignment horizontal="center" vertical="center" textRotation="90"/>
    </xf>
    <xf numFmtId="0" fontId="3" fillId="5" borderId="3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8" xfId="0" applyFont="1" applyFill="1" applyBorder="1" applyAlignment="1">
      <alignment horizontal="center" vertical="center" wrapText="1"/>
    </xf>
    <xf numFmtId="0" fontId="3" fillId="5" borderId="43" xfId="0" applyFont="1" applyFill="1" applyBorder="1" applyAlignment="1">
      <alignment horizontal="center" vertical="center" wrapText="1"/>
    </xf>
    <xf numFmtId="0" fontId="29" fillId="0" borderId="0" xfId="0" applyFont="1"/>
    <xf numFmtId="49" fontId="27" fillId="2" borderId="39" xfId="0" applyNumberFormat="1" applyFont="1" applyFill="1" applyBorder="1" applyAlignment="1">
      <alignment horizontal="left" vertical="center" indent="1"/>
    </xf>
    <xf numFmtId="0" fontId="20" fillId="2" borderId="19" xfId="0" applyFont="1" applyFill="1" applyBorder="1" applyAlignment="1">
      <alignment horizontal="left" vertical="center" indent="1"/>
    </xf>
    <xf numFmtId="0" fontId="20" fillId="2" borderId="34" xfId="0" applyFont="1" applyFill="1" applyBorder="1" applyAlignment="1">
      <alignment horizontal="left" vertical="center" indent="1"/>
    </xf>
    <xf numFmtId="0" fontId="27" fillId="2" borderId="43" xfId="0" applyFont="1" applyFill="1" applyBorder="1" applyAlignment="1">
      <alignment horizontal="left" vertical="center" indent="1"/>
    </xf>
    <xf numFmtId="49" fontId="27" fillId="2" borderId="40" xfId="0" applyNumberFormat="1" applyFont="1" applyFill="1" applyBorder="1" applyAlignment="1">
      <alignment horizontal="left" vertical="center" indent="1"/>
    </xf>
    <xf numFmtId="0" fontId="20" fillId="2" borderId="41" xfId="0" applyFont="1" applyFill="1" applyBorder="1" applyAlignment="1">
      <alignment horizontal="left" vertical="center" indent="1"/>
    </xf>
    <xf numFmtId="0" fontId="20" fillId="2" borderId="42" xfId="0" applyFont="1" applyFill="1" applyBorder="1" applyAlignment="1">
      <alignment horizontal="left" vertical="center" indent="1"/>
    </xf>
    <xf numFmtId="0" fontId="27" fillId="2" borderId="44" xfId="0" applyFont="1" applyFill="1" applyBorder="1" applyAlignment="1">
      <alignment horizontal="left" vertical="center" indent="1"/>
    </xf>
    <xf numFmtId="49" fontId="27" fillId="2" borderId="39" xfId="0" applyNumberFormat="1" applyFont="1" applyFill="1" applyBorder="1" applyAlignment="1">
      <alignment horizontal="center" vertical="center"/>
    </xf>
    <xf numFmtId="14" fontId="20" fillId="2" borderId="19" xfId="0" applyNumberFormat="1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left" vertical="center" wrapText="1" indent="1"/>
    </xf>
    <xf numFmtId="49" fontId="27" fillId="2" borderId="40" xfId="0" applyNumberFormat="1" applyFont="1" applyFill="1" applyBorder="1" applyAlignment="1">
      <alignment horizontal="center" vertical="center"/>
    </xf>
    <xf numFmtId="14" fontId="20" fillId="2" borderId="41" xfId="0" applyNumberFormat="1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left" vertical="center" wrapText="1" indent="1"/>
    </xf>
    <xf numFmtId="49" fontId="34" fillId="2" borderId="53" xfId="0" applyNumberFormat="1" applyFont="1" applyFill="1" applyBorder="1" applyAlignment="1">
      <alignment horizontal="left" vertical="center" wrapText="1" indent="1"/>
    </xf>
    <xf numFmtId="0" fontId="0" fillId="2" borderId="53" xfId="0" applyFill="1" applyBorder="1"/>
    <xf numFmtId="0" fontId="27" fillId="10" borderId="53" xfId="0" applyFont="1" applyFill="1" applyBorder="1" applyAlignment="1">
      <alignment vertical="center" indent="1"/>
    </xf>
    <xf numFmtId="0" fontId="0" fillId="10" borderId="53" xfId="0" applyFill="1" applyBorder="1"/>
    <xf numFmtId="0" fontId="0" fillId="2" borderId="8" xfId="0" applyFill="1" applyBorder="1"/>
    <xf numFmtId="0" fontId="5" fillId="10" borderId="48" xfId="0" applyFont="1" applyFill="1" applyBorder="1" applyAlignment="1">
      <alignment vertical="top" wrapText="1" indent="1"/>
    </xf>
    <xf numFmtId="0" fontId="0" fillId="10" borderId="50" xfId="0" applyFill="1" applyBorder="1"/>
    <xf numFmtId="0" fontId="20" fillId="0" borderId="4" xfId="0" applyFont="1" applyBorder="1" applyAlignment="1">
      <alignment vertical="center" wrapText="1" indent="1"/>
    </xf>
    <xf numFmtId="0" fontId="0" fillId="0" borderId="4" xfId="0" applyBorder="1"/>
    <xf numFmtId="0" fontId="30" fillId="0" borderId="0" xfId="0" applyFont="1" applyAlignment="1">
      <alignment horizontal="center"/>
    </xf>
    <xf numFmtId="0" fontId="0" fillId="0" borderId="0" xfId="0"/>
    <xf numFmtId="0" fontId="0" fillId="5" borderId="0" xfId="0" applyFill="1" applyAlignment="1">
      <alignment vertical="center" indent="1"/>
    </xf>
    <xf numFmtId="0" fontId="0" fillId="5" borderId="0" xfId="0" applyFill="1"/>
    <xf numFmtId="0" fontId="27" fillId="2" borderId="53" xfId="0" applyFont="1" applyFill="1" applyBorder="1" applyAlignment="1">
      <alignment vertical="center" indent="1"/>
    </xf>
    <xf numFmtId="0" fontId="2" fillId="0" borderId="0" xfId="0" applyFont="1" applyAlignment="1">
      <alignment horizontal="center" vertical="center" shrinkToFit="1"/>
    </xf>
    <xf numFmtId="0" fontId="38" fillId="11" borderId="55" xfId="0" applyFont="1" applyFill="1" applyBorder="1" applyAlignment="1">
      <alignment indent="1"/>
    </xf>
    <xf numFmtId="0" fontId="0" fillId="11" borderId="55" xfId="0" applyFill="1" applyBorder="1"/>
    <xf numFmtId="0" fontId="0" fillId="11" borderId="0" xfId="0" applyFill="1"/>
    <xf numFmtId="0" fontId="40" fillId="11" borderId="0" xfId="0" applyFont="1" applyFill="1" applyAlignment="1">
      <alignment vertical="top" wrapText="1" indent="1"/>
    </xf>
    <xf numFmtId="0" fontId="0" fillId="0" borderId="46" xfId="0" applyBorder="1"/>
    <xf numFmtId="49" fontId="34" fillId="3" borderId="53" xfId="0" applyNumberFormat="1" applyFont="1" applyFill="1" applyBorder="1" applyAlignment="1">
      <alignment horizontal="left" vertical="center" wrapText="1" indent="1"/>
    </xf>
    <xf numFmtId="0" fontId="0" fillId="3" borderId="8" xfId="0" applyFill="1" applyBorder="1"/>
    <xf numFmtId="0" fontId="27" fillId="0" borderId="4" xfId="0" applyFont="1" applyBorder="1" applyAlignment="1">
      <alignment vertical="center" indent="1"/>
    </xf>
    <xf numFmtId="0" fontId="27" fillId="3" borderId="53" xfId="0" applyFont="1" applyFill="1" applyBorder="1" applyAlignment="1">
      <alignment vertical="center" indent="1"/>
    </xf>
    <xf numFmtId="0" fontId="0" fillId="3" borderId="53" xfId="0" applyFill="1" applyBorder="1"/>
    <xf numFmtId="0" fontId="31" fillId="0" borderId="46" xfId="0" applyFont="1" applyBorder="1" applyAlignment="1">
      <alignment horizontal="center" vertical="top"/>
    </xf>
    <xf numFmtId="0" fontId="0" fillId="10" borderId="47" xfId="0" applyFill="1" applyBorder="1" applyAlignment="1">
      <alignment vertical="center" indent="1"/>
    </xf>
    <xf numFmtId="0" fontId="0" fillId="10" borderId="49" xfId="0" applyFill="1" applyBorder="1"/>
    <xf numFmtId="0" fontId="33" fillId="5" borderId="0" xfId="0" applyFont="1" applyFill="1" applyAlignment="1">
      <alignment vertical="center" indent="1"/>
    </xf>
    <xf numFmtId="0" fontId="0" fillId="2" borderId="60" xfId="0" applyFill="1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17" fillId="2" borderId="66" xfId="0" applyFont="1" applyFill="1" applyBorder="1" applyAlignment="1">
      <alignment horizontal="left" indent="1"/>
    </xf>
    <xf numFmtId="0" fontId="0" fillId="0" borderId="11" xfId="0" applyBorder="1"/>
    <xf numFmtId="0" fontId="2" fillId="2" borderId="53" xfId="0" applyFont="1" applyFill="1" applyBorder="1" applyAlignment="1">
      <alignment horizontal="left" vertical="center" wrapText="1" indent="1"/>
    </xf>
    <xf numFmtId="0" fontId="0" fillId="0" borderId="56" xfId="0" applyBorder="1"/>
    <xf numFmtId="0" fontId="0" fillId="0" borderId="57" xfId="0" applyBorder="1"/>
    <xf numFmtId="0" fontId="43" fillId="13" borderId="13" xfId="0" applyFont="1" applyFill="1" applyBorder="1" applyAlignment="1">
      <alignment horizontal="center" vertical="center"/>
    </xf>
    <xf numFmtId="0" fontId="0" fillId="13" borderId="4" xfId="0" applyFill="1" applyBorder="1"/>
    <xf numFmtId="0" fontId="7" fillId="2" borderId="5" xfId="0" applyFont="1" applyFill="1" applyBorder="1" applyAlignment="1">
      <alignment horizontal="left" vertical="top" wrapText="1" indent="1"/>
    </xf>
    <xf numFmtId="0" fontId="0" fillId="0" borderId="7" xfId="0" applyBorder="1"/>
    <xf numFmtId="0" fontId="0" fillId="0" borderId="12" xfId="0" applyBorder="1"/>
    <xf numFmtId="0" fontId="0" fillId="2" borderId="15" xfId="0" applyFill="1" applyBorder="1" applyAlignment="1">
      <alignment horizontal="left" vertical="center" wrapText="1" indent="1"/>
    </xf>
    <xf numFmtId="0" fontId="0" fillId="0" borderId="71" xfId="0" applyBorder="1"/>
    <xf numFmtId="0" fontId="15" fillId="2" borderId="19" xfId="0" applyFont="1" applyFill="1" applyBorder="1" applyAlignment="1">
      <alignment horizontal="left" vertical="top" wrapText="1" indent="1"/>
    </xf>
    <xf numFmtId="0" fontId="0" fillId="0" borderId="20" xfId="0" applyBorder="1"/>
    <xf numFmtId="0" fontId="0" fillId="0" borderId="21" xfId="0" applyBorder="1"/>
    <xf numFmtId="0" fontId="22" fillId="2" borderId="44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left" vertical="center" wrapText="1" indent="1"/>
    </xf>
    <xf numFmtId="0" fontId="0" fillId="2" borderId="14" xfId="0" applyFill="1" applyBorder="1" applyAlignment="1">
      <alignment horizontal="left" vertical="center" wrapText="1" indent="1"/>
    </xf>
    <xf numFmtId="0" fontId="3" fillId="4" borderId="17" xfId="0" applyFont="1" applyFill="1" applyBorder="1" applyAlignment="1">
      <alignment horizontal="left" vertical="center" indent="1"/>
    </xf>
    <xf numFmtId="0" fontId="0" fillId="0" borderId="6" xfId="0" applyBorder="1"/>
    <xf numFmtId="0" fontId="0" fillId="0" borderId="10" xfId="0" applyBorder="1"/>
    <xf numFmtId="0" fontId="16" fillId="7" borderId="3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left" indent="1"/>
    </xf>
    <xf numFmtId="0" fontId="42" fillId="6" borderId="13" xfId="0" applyFont="1" applyFill="1" applyBorder="1" applyAlignment="1">
      <alignment horizontal="center" vertical="center"/>
    </xf>
    <xf numFmtId="0" fontId="0" fillId="6" borderId="4" xfId="0" applyFill="1" applyBorder="1"/>
    <xf numFmtId="0" fontId="1" fillId="2" borderId="68" xfId="0" applyFont="1" applyFill="1" applyBorder="1" applyAlignment="1">
      <alignment horizontal="left" indent="1"/>
    </xf>
    <xf numFmtId="0" fontId="41" fillId="7" borderId="13" xfId="0" applyFont="1" applyFill="1" applyBorder="1" applyAlignment="1">
      <alignment horizontal="center" vertical="center"/>
    </xf>
    <xf numFmtId="0" fontId="0" fillId="7" borderId="4" xfId="0" applyFill="1" applyBorder="1"/>
    <xf numFmtId="0" fontId="18" fillId="6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2" fillId="3" borderId="53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shrinkToFit="1"/>
    </xf>
    <xf numFmtId="0" fontId="21" fillId="2" borderId="45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3" fillId="4" borderId="69" xfId="0" applyFont="1" applyFill="1" applyBorder="1" applyAlignment="1">
      <alignment horizontal="left" vertical="center" indent="1"/>
    </xf>
    <xf numFmtId="0" fontId="20" fillId="2" borderId="67" xfId="0" applyFont="1" applyFill="1" applyBorder="1" applyAlignment="1">
      <alignment horizontal="left" vertical="center" wrapText="1" indent="1"/>
    </xf>
    <xf numFmtId="0" fontId="44" fillId="8" borderId="13" xfId="0" applyFont="1" applyFill="1" applyBorder="1" applyAlignment="1">
      <alignment horizontal="center" vertical="center"/>
    </xf>
    <xf numFmtId="0" fontId="0" fillId="8" borderId="4" xfId="0" applyFill="1" applyBorder="1"/>
    <xf numFmtId="0" fontId="3" fillId="4" borderId="16" xfId="0" applyFont="1" applyFill="1" applyBorder="1" applyAlignment="1">
      <alignment horizontal="left" vertical="center" indent="1"/>
    </xf>
    <xf numFmtId="0" fontId="0" fillId="4" borderId="14" xfId="0" applyFill="1" applyBorder="1"/>
    <xf numFmtId="0" fontId="0" fillId="2" borderId="0" xfId="0" applyFill="1"/>
    <xf numFmtId="0" fontId="1" fillId="2" borderId="59" xfId="0" applyFont="1" applyFill="1" applyBorder="1" applyAlignment="1">
      <alignment horizontal="left" indent="1"/>
    </xf>
    <xf numFmtId="0" fontId="3" fillId="4" borderId="28" xfId="0" applyFont="1" applyFill="1" applyBorder="1" applyAlignment="1">
      <alignment horizontal="left" vertical="center" indent="1"/>
    </xf>
    <xf numFmtId="0" fontId="41" fillId="12" borderId="13" xfId="0" applyFont="1" applyFill="1" applyBorder="1" applyAlignment="1">
      <alignment horizontal="center" vertical="center"/>
    </xf>
    <xf numFmtId="0" fontId="0" fillId="12" borderId="4" xfId="0" applyFill="1" applyBorder="1"/>
    <xf numFmtId="0" fontId="24" fillId="3" borderId="53" xfId="0" applyFont="1" applyFill="1" applyBorder="1" applyAlignment="1">
      <alignment horizontal="center" vertical="center" wrapText="1"/>
    </xf>
    <xf numFmtId="0" fontId="25" fillId="9" borderId="67" xfId="0" applyFont="1" applyFill="1" applyBorder="1" applyAlignment="1">
      <alignment horizontal="left" vertical="center" indent="1"/>
    </xf>
    <xf numFmtId="0" fontId="25" fillId="9" borderId="19" xfId="0" applyFont="1" applyFill="1" applyBorder="1" applyAlignment="1">
      <alignment horizontal="left" vertical="center" indent="1"/>
    </xf>
    <xf numFmtId="0" fontId="25" fillId="3" borderId="35" xfId="0" applyFont="1" applyFill="1" applyBorder="1" applyAlignment="1">
      <alignment horizontal="right" vertical="center" indent="1"/>
    </xf>
    <xf numFmtId="0" fontId="0" fillId="0" borderId="70" xfId="0" applyBorder="1"/>
    <xf numFmtId="0" fontId="11" fillId="5" borderId="28" xfId="0" applyFont="1" applyFill="1" applyBorder="1" applyAlignment="1">
      <alignment horizontal="center" vertical="center"/>
    </xf>
    <xf numFmtId="1" fontId="2" fillId="2" borderId="53" xfId="0" applyNumberFormat="1" applyFont="1" applyFill="1" applyBorder="1" applyAlignment="1">
      <alignment horizontal="center" vertical="center" wrapText="1"/>
    </xf>
    <xf numFmtId="170" fontId="24" fillId="3" borderId="53" xfId="0" applyNumberFormat="1" applyFont="1" applyFill="1" applyBorder="1" applyAlignment="1">
      <alignment horizontal="center" vertical="center" wrapText="1"/>
    </xf>
    <xf numFmtId="0" fontId="11" fillId="5" borderId="69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 shrinkToFit="1"/>
    </xf>
    <xf numFmtId="0" fontId="0" fillId="2" borderId="23" xfId="0" applyFill="1" applyBorder="1"/>
    <xf numFmtId="0" fontId="0" fillId="2" borderId="24" xfId="0" applyFill="1" applyBorder="1"/>
    <xf numFmtId="0" fontId="22" fillId="2" borderId="25" xfId="0" applyFont="1" applyFill="1" applyBorder="1" applyAlignment="1">
      <alignment horizontal="center" vertical="center" wrapText="1"/>
    </xf>
    <xf numFmtId="0" fontId="0" fillId="2" borderId="26" xfId="0" applyFill="1" applyBorder="1"/>
    <xf numFmtId="0" fontId="0" fillId="2" borderId="27" xfId="0" applyFill="1" applyBorder="1"/>
    <xf numFmtId="0" fontId="21" fillId="2" borderId="2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22" xfId="0" applyFill="1" applyBorder="1"/>
    <xf numFmtId="0" fontId="0" fillId="2" borderId="25" xfId="0" applyFill="1" applyBorder="1"/>
  </cellXfs>
  <cellStyles count="1">
    <cellStyle name="Normal" xfId="0" builtinId="0"/>
  </cellStyles>
  <dxfs count="20">
    <dxf>
      <font>
        <b/>
        <color rgb="FF8A5A00"/>
      </font>
      <fill>
        <patternFill patternType="solid">
          <fgColor rgb="FFFFF3DC"/>
          <bgColor rgb="FFFFF3DC"/>
        </patternFill>
      </fill>
    </dxf>
    <dxf>
      <font>
        <b/>
        <color rgb="FFB3261E"/>
      </font>
      <fill>
        <patternFill patternType="solid">
          <fgColor rgb="FFFDECEA"/>
          <bgColor rgb="FFFDECEA"/>
        </patternFill>
      </fill>
    </dxf>
    <dxf>
      <font>
        <b/>
        <color rgb="FF1E7A46"/>
      </font>
      <fill>
        <patternFill patternType="solid">
          <fgColor rgb="FFE6F4E8"/>
          <bgColor rgb="FFE6F4E8"/>
        </patternFill>
      </fill>
    </dxf>
    <dxf>
      <font>
        <b/>
        <color rgb="FF8A5A00"/>
      </font>
      <fill>
        <patternFill patternType="solid">
          <fgColor rgb="FFFFF3DC"/>
          <bgColor rgb="FFFFF3DC"/>
        </patternFill>
      </fill>
    </dxf>
    <dxf>
      <font>
        <b/>
        <color rgb="FFB3261E"/>
      </font>
      <fill>
        <patternFill patternType="solid">
          <fgColor rgb="FFF8D7D3"/>
          <bgColor rgb="FFF8D7D3"/>
        </patternFill>
      </fill>
    </dxf>
    <dxf>
      <font>
        <b/>
        <color rgb="FF1E7A46"/>
      </font>
      <fill>
        <patternFill patternType="solid">
          <fgColor rgb="FFE6F4E8"/>
          <bgColor rgb="FFE6F4E8"/>
        </patternFill>
      </fill>
    </dxf>
    <dxf>
      <font>
        <b/>
        <color rgb="FF8A5A00"/>
      </font>
      <fill>
        <patternFill patternType="solid">
          <fgColor rgb="FFFFF3DC"/>
          <bgColor rgb="FFFFF3DC"/>
        </patternFill>
      </fill>
    </dxf>
    <dxf>
      <font>
        <b/>
        <color rgb="FFB3261E"/>
      </font>
      <fill>
        <patternFill patternType="solid">
          <fgColor rgb="FFF8D7D3"/>
          <bgColor rgb="FFF8D7D3"/>
        </patternFill>
      </fill>
    </dxf>
    <dxf>
      <font>
        <b/>
        <color rgb="FFB3261E"/>
      </font>
      <fill>
        <patternFill patternType="solid">
          <fgColor rgb="FFF8D7D3"/>
          <bgColor rgb="FFF8D7D3"/>
        </patternFill>
      </fill>
    </dxf>
    <dxf>
      <font>
        <b/>
        <color rgb="FF1F5AA6"/>
      </font>
      <fill>
        <patternFill patternType="solid">
          <fgColor rgb="FFE1ECF6"/>
          <bgColor rgb="FFE1ECF6"/>
        </patternFill>
      </fill>
    </dxf>
    <dxf>
      <font>
        <b/>
        <color rgb="FF8A5A00"/>
      </font>
      <fill>
        <patternFill patternType="solid">
          <fgColor rgb="FFFFF3DC"/>
          <bgColor rgb="FFFFF3DC"/>
        </patternFill>
      </fill>
    </dxf>
    <dxf>
      <font>
        <b/>
        <color rgb="FFB3261E"/>
      </font>
      <fill>
        <patternFill patternType="solid">
          <fgColor rgb="FFFDECEA"/>
          <bgColor rgb="FFFDECEA"/>
        </patternFill>
      </fill>
    </dxf>
    <dxf>
      <font>
        <b/>
        <color rgb="FF1E7A46"/>
      </font>
      <fill>
        <patternFill patternType="solid">
          <fgColor rgb="FFE6F4E8"/>
          <bgColor rgb="FFE6F4E8"/>
        </patternFill>
      </fill>
    </dxf>
    <dxf>
      <font>
        <b/>
        <color rgb="FF8A5A00"/>
      </font>
      <fill>
        <patternFill patternType="solid">
          <fgColor rgb="FFFFF3DC"/>
          <bgColor rgb="FFFFF3DC"/>
        </patternFill>
      </fill>
    </dxf>
    <dxf>
      <font>
        <b/>
        <color rgb="FFB3261E"/>
      </font>
      <fill>
        <patternFill patternType="solid">
          <fgColor rgb="FFF8D7D3"/>
          <bgColor rgb="FFF8D7D3"/>
        </patternFill>
      </fill>
    </dxf>
    <dxf>
      <font>
        <b/>
        <color rgb="FFB3261E"/>
      </font>
      <fill>
        <patternFill patternType="solid">
          <fgColor rgb="FFF8D7D3"/>
          <bgColor rgb="FFF8D7D3"/>
        </patternFill>
      </fill>
    </dxf>
    <dxf>
      <font>
        <b/>
        <color rgb="FFB3261E"/>
      </font>
      <fill>
        <patternFill patternType="solid">
          <fgColor rgb="FFFDECEA"/>
          <bgColor rgb="FFFDECEA"/>
        </patternFill>
      </fill>
    </dxf>
    <dxf>
      <font>
        <b/>
        <color rgb="FF8A5A00"/>
      </font>
      <fill>
        <patternFill patternType="solid">
          <fgColor rgb="FFFFF3DC"/>
          <bgColor rgb="FFFFF3DC"/>
        </patternFill>
      </fill>
    </dxf>
    <dxf>
      <font>
        <b/>
        <color rgb="FF5E7F1F"/>
      </font>
      <fill>
        <patternFill patternType="solid">
          <fgColor rgb="FFF1F6DA"/>
          <bgColor rgb="FFF1F6DA"/>
        </patternFill>
      </fill>
    </dxf>
    <dxf>
      <font>
        <b/>
        <color rgb="FF1E7A46"/>
      </font>
      <fill>
        <patternFill patternType="solid">
          <fgColor rgb="FFE6F4E8"/>
          <bgColor rgb="FFE6F4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161925</xdr:rowOff>
    </xdr:from>
    <xdr:ext cx="1647825" cy="495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57150</xdr:colOff>
      <xdr:row>31</xdr:row>
      <xdr:rowOff>104775</xdr:rowOff>
    </xdr:from>
    <xdr:ext cx="1609725" cy="47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695325</xdr:colOff>
      <xdr:row>0</xdr:row>
      <xdr:rowOff>66675</xdr:rowOff>
    </xdr:from>
    <xdr:ext cx="1990725" cy="59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771525</xdr:colOff>
      <xdr:row>0</xdr:row>
      <xdr:rowOff>47625</xdr:rowOff>
    </xdr:from>
    <xdr:ext cx="216217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695325</xdr:colOff>
      <xdr:row>0</xdr:row>
      <xdr:rowOff>95250</xdr:rowOff>
    </xdr:from>
    <xdr:ext cx="192405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1076325</xdr:colOff>
      <xdr:row>0</xdr:row>
      <xdr:rowOff>47625</xdr:rowOff>
    </xdr:from>
    <xdr:ext cx="216217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695325</xdr:colOff>
      <xdr:row>0</xdr:row>
      <xdr:rowOff>47625</xdr:rowOff>
    </xdr:from>
    <xdr:ext cx="2162175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133350</xdr:rowOff>
    </xdr:from>
    <xdr:ext cx="15430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pcm_ativos" displayName="tb_pcm_ativos" ref="A4:D29">
  <autoFilter ref="A4:D29" xr:uid="{00000000-0009-0000-0100-000001000000}"/>
  <tableColumns count="4">
    <tableColumn id="1" xr3:uid="{00000000-0010-0000-0000-000001000000}" name="tag"/>
    <tableColumn id="2" xr3:uid="{00000000-0010-0000-0000-000002000000}" name="descricao_ativo"/>
    <tableColumn id="3" xr3:uid="{00000000-0010-0000-0000-000003000000}" name="familia"/>
    <tableColumn id="4" xr3:uid="{00000000-0010-0000-0000-000004000000}" name="setor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_pcm_pessoas" displayName="tb_pcm_pessoas" ref="F4:F29">
  <autoFilter ref="F4:F29" xr:uid="{00000000-0009-0000-0100-000002000000}"/>
  <tableColumns count="1">
    <tableColumn id="6" xr3:uid="{00000000-0010-0000-0100-000006000000}" name="nome_pessoa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_pcm_familias" displayName="tb_pcm_familias" ref="H4:H29">
  <autoFilter ref="H4:H29" xr:uid="{00000000-0009-0000-0100-000003000000}"/>
  <tableColumns count="1">
    <tableColumn id="8" xr3:uid="{00000000-0010-0000-0200-000008000000}" name="nome_familia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_pcm_setores" displayName="tb_pcm_setores" ref="J4:J29">
  <autoFilter ref="J4:J29" xr:uid="{00000000-0009-0000-0100-000004000000}"/>
  <tableColumns count="1">
    <tableColumn id="10" xr3:uid="{00000000-0010-0000-0300-00000A000000}" name="nome_setor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_pcm_revisoes_modelo" displayName="tb_pcm_revisoes_modelo" ref="A4:E29">
  <autoFilter ref="A4:E29" xr:uid="{00000000-0009-0000-0100-000005000000}"/>
  <tableColumns count="5">
    <tableColumn id="1" xr3:uid="{00000000-0010-0000-0400-000001000000}" name="revisao"/>
    <tableColumn id="2" xr3:uid="{00000000-0010-0000-0400-000002000000}" name="data_revisao"/>
    <tableColumn id="3" xr3:uid="{00000000-0010-0000-0400-000003000000}" name="descricao_alteracao"/>
    <tableColumn id="4" xr3:uid="{00000000-0010-0000-0400-000004000000}" name="elaborado_por"/>
    <tableColumn id="5" xr3:uid="{00000000-0010-0000-0400-000005000000}" name="aprovado_por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pcmdireto.me/" TargetMode="External"/><Relationship Id="rId1" Type="http://schemas.openxmlformats.org/officeDocument/2006/relationships/hyperlink" Target="https://pcmdireto.m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2A5B"/>
    <pageSetUpPr fitToPage="1"/>
  </sheetPr>
  <dimension ref="B1:F33"/>
  <sheetViews>
    <sheetView showGridLines="0" workbookViewId="0"/>
  </sheetViews>
  <sheetFormatPr defaultRowHeight="14.5"/>
  <cols>
    <col min="1" max="1" width="2" customWidth="1"/>
    <col min="2" max="2" width="6" customWidth="1"/>
    <col min="3" max="3" width="19" customWidth="1"/>
    <col min="4" max="6" width="24" customWidth="1"/>
    <col min="7" max="7" width="2" customWidth="1"/>
  </cols>
  <sheetData>
    <row r="1" spans="2:6" ht="24" customHeight="1">
      <c r="B1" s="88"/>
      <c r="C1" s="88"/>
      <c r="D1" s="87" t="s">
        <v>0</v>
      </c>
      <c r="E1" s="88"/>
      <c r="F1" s="1" t="s">
        <v>1</v>
      </c>
    </row>
    <row r="2" spans="2:6" ht="22" customHeight="1">
      <c r="B2" s="88"/>
      <c r="C2" s="88"/>
      <c r="D2" s="92" t="s">
        <v>2</v>
      </c>
      <c r="E2" s="88"/>
      <c r="F2" s="2" t="s">
        <v>3</v>
      </c>
    </row>
    <row r="3" spans="2:6" ht="20" customHeight="1">
      <c r="B3" s="97"/>
      <c r="C3" s="97"/>
      <c r="D3" s="103" t="s">
        <v>4</v>
      </c>
      <c r="E3" s="97"/>
      <c r="F3" s="3" t="s">
        <v>5</v>
      </c>
    </row>
    <row r="4" spans="2:6" ht="10" customHeight="1"/>
    <row r="5" spans="2:6" ht="24" customHeight="1">
      <c r="B5" s="106" t="s">
        <v>6</v>
      </c>
      <c r="C5" s="90"/>
      <c r="D5" s="90"/>
      <c r="E5" s="90"/>
      <c r="F5" s="90"/>
    </row>
    <row r="6" spans="2:6" ht="26" customHeight="1">
      <c r="B6" s="104" t="s">
        <v>7</v>
      </c>
      <c r="C6" s="105"/>
      <c r="D6" s="4" t="s">
        <v>8</v>
      </c>
      <c r="E6" s="4" t="s">
        <v>9</v>
      </c>
      <c r="F6" s="4" t="s">
        <v>10</v>
      </c>
    </row>
    <row r="7" spans="2:6" ht="50" customHeight="1">
      <c r="B7" s="83" t="s">
        <v>11</v>
      </c>
      <c r="C7" s="84"/>
      <c r="D7" s="5" t="s">
        <v>12</v>
      </c>
      <c r="E7" s="5" t="s">
        <v>13</v>
      </c>
      <c r="F7" s="5" t="s">
        <v>14</v>
      </c>
    </row>
    <row r="8" spans="2:6" ht="10" customHeight="1"/>
    <row r="9" spans="2:6" ht="24" customHeight="1">
      <c r="B9" s="89" t="s">
        <v>15</v>
      </c>
      <c r="C9" s="90"/>
      <c r="D9" s="90"/>
      <c r="E9" s="90"/>
      <c r="F9" s="90"/>
    </row>
    <row r="10" spans="2:6" ht="21" customHeight="1">
      <c r="B10" s="80" t="s">
        <v>16</v>
      </c>
      <c r="C10" s="81"/>
      <c r="D10" s="78" t="s">
        <v>17</v>
      </c>
      <c r="E10" s="82"/>
      <c r="F10" s="6" t="s">
        <v>18</v>
      </c>
    </row>
    <row r="11" spans="2:6" ht="33" customHeight="1">
      <c r="B11" s="80" t="s">
        <v>19</v>
      </c>
      <c r="C11" s="81"/>
      <c r="D11" s="78" t="s">
        <v>20</v>
      </c>
      <c r="E11" s="79"/>
      <c r="F11" s="79"/>
    </row>
    <row r="12" spans="2:6" ht="21" customHeight="1">
      <c r="B12" s="80" t="s">
        <v>21</v>
      </c>
      <c r="C12" s="81"/>
      <c r="D12" s="78" t="s">
        <v>22</v>
      </c>
      <c r="E12" s="79"/>
      <c r="F12" s="79"/>
    </row>
    <row r="13" spans="2:6" ht="21" customHeight="1">
      <c r="B13" s="80" t="s">
        <v>23</v>
      </c>
      <c r="C13" s="81"/>
      <c r="D13" s="78"/>
      <c r="E13" s="82"/>
      <c r="F13" s="7" t="s">
        <v>24</v>
      </c>
    </row>
    <row r="14" spans="2:6" ht="21" customHeight="1">
      <c r="B14" s="80" t="s">
        <v>25</v>
      </c>
      <c r="C14" s="81"/>
      <c r="D14" s="78"/>
      <c r="E14" s="82"/>
      <c r="F14" s="7" t="s">
        <v>24</v>
      </c>
    </row>
    <row r="15" spans="2:6" ht="21" customHeight="1">
      <c r="B15" s="80" t="s">
        <v>26</v>
      </c>
      <c r="C15" s="81"/>
      <c r="D15" s="98" t="str">
        <f>IF(COUNTA(tb_pcm_revisoes_modelo[revisao])=0,"-",INDEX(tb_pcm_revisoes_modelo[revisao],COUNTA(tb_pcm_revisoes_modelo[revisao])))</f>
        <v>00</v>
      </c>
      <c r="E15" s="99"/>
      <c r="F15" s="6" t="s">
        <v>27</v>
      </c>
    </row>
    <row r="16" spans="2:6" ht="21" customHeight="1">
      <c r="B16" s="80" t="s">
        <v>28</v>
      </c>
      <c r="C16" s="81"/>
      <c r="D16" s="98" t="str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>30/Out/2026</v>
      </c>
      <c r="E16" s="99"/>
      <c r="F16" s="6" t="s">
        <v>27</v>
      </c>
    </row>
    <row r="17" spans="2:6" ht="10" customHeight="1"/>
    <row r="18" spans="2:6" ht="24" customHeight="1">
      <c r="B18" s="89" t="s">
        <v>29</v>
      </c>
      <c r="C18" s="90"/>
      <c r="D18" s="90"/>
      <c r="E18" s="90"/>
      <c r="F18" s="90"/>
    </row>
    <row r="19" spans="2:6" ht="34" customHeight="1">
      <c r="B19" s="8">
        <v>1</v>
      </c>
      <c r="C19" s="9" t="s">
        <v>30</v>
      </c>
      <c r="D19" s="85" t="s">
        <v>31</v>
      </c>
      <c r="E19" s="86"/>
      <c r="F19" s="86"/>
    </row>
    <row r="20" spans="2:6" ht="34" customHeight="1">
      <c r="B20" s="8">
        <v>2</v>
      </c>
      <c r="C20" s="9" t="s">
        <v>32</v>
      </c>
      <c r="D20" s="85" t="s">
        <v>33</v>
      </c>
      <c r="E20" s="86"/>
      <c r="F20" s="86"/>
    </row>
    <row r="21" spans="2:6" ht="46" customHeight="1">
      <c r="B21" s="8">
        <v>3</v>
      </c>
      <c r="C21" s="9" t="s">
        <v>34</v>
      </c>
      <c r="D21" s="85" t="s">
        <v>35</v>
      </c>
      <c r="E21" s="86"/>
      <c r="F21" s="86"/>
    </row>
    <row r="22" spans="2:6" ht="34" customHeight="1">
      <c r="B22" s="8">
        <v>4</v>
      </c>
      <c r="C22" s="9" t="s">
        <v>36</v>
      </c>
      <c r="D22" s="85" t="s">
        <v>37</v>
      </c>
      <c r="E22" s="86"/>
      <c r="F22" s="86"/>
    </row>
    <row r="23" spans="2:6" ht="34" customHeight="1">
      <c r="B23" s="8">
        <v>5</v>
      </c>
      <c r="C23" s="9" t="s">
        <v>38</v>
      </c>
      <c r="D23" s="85" t="s">
        <v>39</v>
      </c>
      <c r="E23" s="86"/>
      <c r="F23" s="86"/>
    </row>
    <row r="24" spans="2:6" ht="10" customHeight="1"/>
    <row r="25" spans="2:6" ht="24" customHeight="1">
      <c r="B25" s="89" t="s">
        <v>40</v>
      </c>
      <c r="C25" s="90"/>
      <c r="D25" s="90"/>
      <c r="E25" s="90"/>
      <c r="F25" s="90"/>
    </row>
    <row r="26" spans="2:6" ht="21" customHeight="1">
      <c r="B26" s="100" t="s">
        <v>41</v>
      </c>
      <c r="C26" s="86"/>
      <c r="D26" s="85" t="s">
        <v>42</v>
      </c>
      <c r="E26" s="86"/>
      <c r="F26" s="86"/>
    </row>
    <row r="27" spans="2:6" ht="21" customHeight="1">
      <c r="B27" s="91" t="s">
        <v>43</v>
      </c>
      <c r="C27" s="79"/>
      <c r="D27" s="85" t="s">
        <v>44</v>
      </c>
      <c r="E27" s="86"/>
      <c r="F27" s="86"/>
    </row>
    <row r="28" spans="2:6" ht="21" customHeight="1">
      <c r="B28" s="101" t="s">
        <v>45</v>
      </c>
      <c r="C28" s="102"/>
      <c r="D28" s="85" t="s">
        <v>46</v>
      </c>
      <c r="E28" s="86"/>
      <c r="F28" s="86"/>
    </row>
    <row r="29" spans="2:6" ht="21" customHeight="1">
      <c r="B29" s="100" t="s">
        <v>47</v>
      </c>
      <c r="C29" s="86"/>
      <c r="D29" s="85" t="s">
        <v>48</v>
      </c>
      <c r="E29" s="86"/>
      <c r="F29" s="86"/>
    </row>
    <row r="30" spans="2:6" ht="21" customHeight="1">
      <c r="B30" s="100" t="s">
        <v>49</v>
      </c>
      <c r="C30" s="86"/>
      <c r="D30" s="85" t="s">
        <v>50</v>
      </c>
      <c r="E30" s="86"/>
      <c r="F30" s="86"/>
    </row>
    <row r="31" spans="2:6" ht="12" customHeight="1"/>
    <row r="32" spans="2:6" ht="22" customHeight="1">
      <c r="B32" s="94"/>
      <c r="C32" s="94"/>
      <c r="D32" s="93" t="s">
        <v>51</v>
      </c>
      <c r="E32" s="94"/>
      <c r="F32" s="10" t="s">
        <v>3</v>
      </c>
    </row>
    <row r="33" spans="2:6" ht="34" customHeight="1">
      <c r="B33" s="95"/>
      <c r="C33" s="95"/>
      <c r="D33" s="96" t="s">
        <v>52</v>
      </c>
      <c r="E33" s="95"/>
      <c r="F33" s="95"/>
    </row>
  </sheetData>
  <mergeCells count="42">
    <mergeCell ref="B30:C30"/>
    <mergeCell ref="B15:C15"/>
    <mergeCell ref="D15:E15"/>
    <mergeCell ref="D22:F22"/>
    <mergeCell ref="B5:F5"/>
    <mergeCell ref="D14:E14"/>
    <mergeCell ref="B26:C26"/>
    <mergeCell ref="D21:F21"/>
    <mergeCell ref="D32:E32"/>
    <mergeCell ref="B32:C33"/>
    <mergeCell ref="D30:F30"/>
    <mergeCell ref="D33:F33"/>
    <mergeCell ref="B1:C3"/>
    <mergeCell ref="B13:C13"/>
    <mergeCell ref="D16:E16"/>
    <mergeCell ref="D29:F29"/>
    <mergeCell ref="B29:C29"/>
    <mergeCell ref="D23:F23"/>
    <mergeCell ref="B10:C10"/>
    <mergeCell ref="B28:C28"/>
    <mergeCell ref="D26:F26"/>
    <mergeCell ref="D3:E3"/>
    <mergeCell ref="D20:F20"/>
    <mergeCell ref="B9:F9"/>
    <mergeCell ref="D28:F28"/>
    <mergeCell ref="D2:E2"/>
    <mergeCell ref="B11:C11"/>
    <mergeCell ref="D13:E13"/>
    <mergeCell ref="D12:F12"/>
    <mergeCell ref="B14:C14"/>
    <mergeCell ref="B6:C6"/>
    <mergeCell ref="D19:F19"/>
    <mergeCell ref="D1:E1"/>
    <mergeCell ref="B25:F25"/>
    <mergeCell ref="B27:C27"/>
    <mergeCell ref="B18:F18"/>
    <mergeCell ref="B12:C12"/>
    <mergeCell ref="D11:F11"/>
    <mergeCell ref="B16:C16"/>
    <mergeCell ref="D10:E10"/>
    <mergeCell ref="B7:C7"/>
    <mergeCell ref="D27:F27"/>
  </mergeCells>
  <hyperlinks>
    <hyperlink ref="F2" r:id="rId1" xr:uid="{00000000-0004-0000-0000-000000000000}"/>
    <hyperlink ref="C19" location="'Cadastros'!A1" display="Cadastros" xr:uid="{00000000-0004-0000-0000-000001000000}"/>
    <hyperlink ref="C20" location="'Criticidade'!A1" display="Criticidade" xr:uid="{00000000-0004-0000-0000-000002000000}"/>
    <hyperlink ref="C21" location="'FMECA'!A1" display="FMECA" xr:uid="{00000000-0004-0000-0000-000003000000}"/>
    <hyperlink ref="C22" location="'Plano'!A1" display="Plano" xr:uid="{00000000-0004-0000-0000-000004000000}"/>
    <hyperlink ref="C23" location="'Cronograma'!A1" display="Cronograma" xr:uid="{00000000-0004-0000-0000-000005000000}"/>
    <hyperlink ref="F32" r:id="rId2" xr:uid="{00000000-0004-0000-0000-000006000000}"/>
  </hyperlinks>
  <printOptions horizontalCentered="1"/>
  <pageMargins left="0.5" right="0.5" top="0.5" bottom="0.6" header="0.5" footer="0.25"/>
  <pageSetup paperSize="9" orientation="portrait"/>
  <headerFooter>
    <oddFooter>&amp;L&amp;7 &amp;K4A5668PCM-MAN-002  ·  Manutenção planejada. Direto ao ponto.&amp;C&amp;7 &amp;K4A5668Página &amp;P de &amp;N&amp;R&amp;7 &amp;K4A5668PCM Direto  ·  Impresso em &amp;D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5AA6"/>
    <pageSetUpPr fitToPage="1"/>
  </sheetPr>
  <dimension ref="A1:X28"/>
  <sheetViews>
    <sheetView showGridLines="0" topLeftCell="D1" zoomScale="70" zoomScaleNormal="70" workbookViewId="0">
      <selection activeCell="H8" sqref="H8"/>
    </sheetView>
  </sheetViews>
  <sheetFormatPr defaultRowHeight="14.5"/>
  <cols>
    <col min="1" max="1" width="4" customWidth="1"/>
    <col min="2" max="2" width="13" customWidth="1"/>
    <col min="3" max="3" width="18" customWidth="1"/>
    <col min="4" max="4" width="13" customWidth="1"/>
    <col min="5" max="7" width="10.453125" customWidth="1"/>
    <col min="8" max="8" width="12" customWidth="1"/>
    <col min="9" max="9" width="10" customWidth="1"/>
    <col min="10" max="10" width="7" customWidth="1"/>
    <col min="11" max="11" width="33" customWidth="1"/>
    <col min="12" max="12" width="2" customWidth="1"/>
    <col min="13" max="13" width="12" customWidth="1"/>
    <col min="14" max="18" width="10" customWidth="1"/>
    <col min="19" max="19" width="2" customWidth="1"/>
    <col min="20" max="20" width="7" customWidth="1"/>
    <col min="21" max="23" width="21" customWidth="1"/>
    <col min="24" max="24" width="19" customWidth="1"/>
  </cols>
  <sheetData>
    <row r="1" spans="1:24" ht="30.75" customHeight="1">
      <c r="A1" s="107"/>
      <c r="B1" s="108"/>
      <c r="C1" s="108"/>
      <c r="D1" s="109"/>
      <c r="E1" s="146" t="str">
        <f>'Leia-me'!$D$10</f>
        <v>Criticidade, FMECA e plano de manutenção</v>
      </c>
      <c r="F1" s="108"/>
      <c r="G1" s="108"/>
      <c r="H1" s="108"/>
      <c r="I1" s="108"/>
      <c r="J1" s="108"/>
      <c r="K1" s="108"/>
      <c r="L1" s="108"/>
      <c r="M1" s="108"/>
      <c r="N1" s="109"/>
      <c r="O1" s="145" t="str">
        <f>"Rev. "&amp;'Leia-me'!$D$15&amp;"   ·   "&amp;'Leia-me'!$D$16</f>
        <v>Rev. 00   ·   30/Out/2026</v>
      </c>
      <c r="P1" s="108"/>
      <c r="Q1" s="108"/>
      <c r="R1" s="109"/>
    </row>
    <row r="2" spans="1:24" ht="28" customHeight="1">
      <c r="A2" s="110"/>
      <c r="B2" s="111"/>
      <c r="C2" s="111"/>
      <c r="D2" s="112"/>
      <c r="E2" s="128" t="str">
        <f>"Objetivo: "&amp;'Leia-me'!$D$11</f>
        <v>Objetivo: Classificar os equipamentos, analisar as falhas e transformar a análise em plano e cronograma</v>
      </c>
      <c r="F2" s="111"/>
      <c r="G2" s="111"/>
      <c r="H2" s="111"/>
      <c r="I2" s="111"/>
      <c r="J2" s="111"/>
      <c r="K2" s="111"/>
      <c r="L2" s="111"/>
      <c r="M2" s="111"/>
      <c r="N2" s="112"/>
      <c r="O2" s="128" t="str">
        <f>"Elaborado: "&amp;'Leia-me'!$D$13&amp;"   ·   Aprovado: "&amp;'Leia-me'!$D$14</f>
        <v xml:space="preserve">Elaborado:    ·   Aprovado: </v>
      </c>
      <c r="P2" s="111"/>
      <c r="Q2" s="111"/>
      <c r="R2" s="112"/>
    </row>
    <row r="3" spans="1:24" ht="12" customHeight="1">
      <c r="A3" s="155" t="s">
        <v>53</v>
      </c>
      <c r="B3" s="132"/>
      <c r="C3" s="132"/>
      <c r="D3" s="132"/>
      <c r="E3" s="135" t="s">
        <v>54</v>
      </c>
      <c r="F3" s="132"/>
      <c r="G3" s="132"/>
      <c r="H3" s="132"/>
      <c r="I3" s="132"/>
      <c r="J3" s="132"/>
      <c r="K3" s="132"/>
      <c r="L3" s="11"/>
      <c r="M3" s="138" t="s">
        <v>55</v>
      </c>
      <c r="N3" s="132"/>
      <c r="O3" s="132"/>
      <c r="P3" s="132"/>
      <c r="Q3" s="132"/>
      <c r="R3" s="133"/>
      <c r="S3" s="12"/>
      <c r="T3" s="12"/>
      <c r="U3" s="12"/>
      <c r="V3" s="12"/>
      <c r="W3" s="12"/>
      <c r="X3" s="12"/>
    </row>
    <row r="4" spans="1:24" ht="24" customHeight="1">
      <c r="A4" s="115"/>
      <c r="B4" s="116"/>
      <c r="C4" s="116"/>
      <c r="D4" s="117"/>
      <c r="E4" s="115"/>
      <c r="F4" s="116"/>
      <c r="G4" s="116"/>
      <c r="H4" s="116"/>
      <c r="I4" s="116"/>
      <c r="J4" s="116"/>
      <c r="K4" s="117"/>
      <c r="L4" s="13"/>
      <c r="M4" s="144" t="str">
        <f>IF(COUNTA(J8:J27)-COUNTBLANK(J8:J27)=0,"","A: "&amp;COUNTIF(J8:J27,"A")&amp;"   ·   B: "&amp;COUNTIF(J8:J27,"B")&amp;"   ·   C: "&amp;COUNTIF(J8:J27,"C"))</f>
        <v/>
      </c>
      <c r="N4" s="116"/>
      <c r="O4" s="116"/>
      <c r="P4" s="116"/>
      <c r="Q4" s="116"/>
      <c r="R4" s="117"/>
      <c r="S4" s="12"/>
      <c r="T4" s="12"/>
      <c r="U4" s="12"/>
      <c r="V4" s="12"/>
      <c r="W4" s="12"/>
      <c r="X4" s="12"/>
    </row>
    <row r="5" spans="1:24" ht="8" customHeight="1">
      <c r="A5" s="12"/>
      <c r="B5" s="154"/>
      <c r="C5" s="8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20" customHeight="1">
      <c r="A6" s="142" t="s">
        <v>56</v>
      </c>
      <c r="B6" s="132"/>
      <c r="C6" s="132"/>
      <c r="D6" s="132"/>
      <c r="E6" s="156" t="s">
        <v>57</v>
      </c>
      <c r="F6" s="132"/>
      <c r="G6" s="132"/>
      <c r="H6" s="132"/>
      <c r="I6" s="148" t="s">
        <v>58</v>
      </c>
      <c r="J6" s="132"/>
      <c r="K6" s="133"/>
      <c r="L6" s="12"/>
      <c r="M6" s="131" t="s">
        <v>59</v>
      </c>
      <c r="N6" s="132"/>
      <c r="O6" s="132"/>
      <c r="P6" s="132"/>
      <c r="Q6" s="132"/>
      <c r="R6" s="133"/>
      <c r="S6" s="12"/>
      <c r="T6" s="152" t="s">
        <v>60</v>
      </c>
      <c r="U6" s="153"/>
      <c r="V6" s="153"/>
      <c r="W6" s="153"/>
      <c r="X6" s="153"/>
    </row>
    <row r="7" spans="1:24" ht="34" customHeight="1">
      <c r="A7" s="14" t="s">
        <v>61</v>
      </c>
      <c r="B7" s="15" t="s">
        <v>62</v>
      </c>
      <c r="C7" s="15" t="s">
        <v>63</v>
      </c>
      <c r="D7" s="15" t="s">
        <v>64</v>
      </c>
      <c r="E7" s="15" t="s">
        <v>228</v>
      </c>
      <c r="F7" s="15" t="s">
        <v>229</v>
      </c>
      <c r="G7" s="15" t="s">
        <v>230</v>
      </c>
      <c r="H7" s="15" t="s">
        <v>66</v>
      </c>
      <c r="I7" s="15" t="s">
        <v>67</v>
      </c>
      <c r="J7" s="15" t="s">
        <v>68</v>
      </c>
      <c r="K7" s="16" t="s">
        <v>69</v>
      </c>
      <c r="L7" s="12"/>
      <c r="M7" s="17" t="s">
        <v>70</v>
      </c>
      <c r="N7" s="15" t="s">
        <v>71</v>
      </c>
      <c r="O7" s="15" t="s">
        <v>72</v>
      </c>
      <c r="P7" s="15" t="s">
        <v>73</v>
      </c>
      <c r="Q7" s="15" t="s">
        <v>74</v>
      </c>
      <c r="R7" s="16" t="s">
        <v>75</v>
      </c>
      <c r="S7" s="12"/>
      <c r="T7" s="15" t="s">
        <v>76</v>
      </c>
      <c r="U7" s="15" t="s">
        <v>77</v>
      </c>
      <c r="V7" s="15" t="s">
        <v>65</v>
      </c>
      <c r="W7" s="15" t="s">
        <v>78</v>
      </c>
      <c r="X7" s="15" t="s">
        <v>67</v>
      </c>
    </row>
    <row r="8" spans="1:24" ht="24" customHeight="1">
      <c r="A8" s="18">
        <v>1</v>
      </c>
      <c r="B8" s="19"/>
      <c r="C8" s="20" t="str">
        <f>IF(B8="","",IFERROR(INDEX(tb_pcm_ativos[descricao_ativo],MATCH(B8,tb_pcm_ativos[tag],0)),"fora do cadastro"))</f>
        <v/>
      </c>
      <c r="D8" s="20" t="str">
        <f>IF(B8="","",IFERROR(INDEX(tb_pcm_ativos[familia],MATCH(B8,tb_pcm_ativos[tag],0))&amp;"",""))</f>
        <v/>
      </c>
      <c r="E8" s="21"/>
      <c r="F8" s="21"/>
      <c r="G8" s="21"/>
      <c r="H8" s="22" t="str">
        <f t="shared" ref="H8:H27" si="0">IF(COUNT(E8:G8)=0,"",MAX(E8:G8))</f>
        <v/>
      </c>
      <c r="I8" s="21"/>
      <c r="J8" s="22" t="str">
        <f t="shared" ref="J8:J27" si="1">IF(OR(H8="",I8=""),"",IF(E8=5,"A",MID(CHOOSE(H8,"CCCBB","CCBBA","CBBAA","BBAAA","BAAAA"),I8,1)))</f>
        <v/>
      </c>
      <c r="K8" s="23" t="str">
        <f t="shared" ref="K8:K27" si="2">IF(J8="","",IF(J8="A",$N$22,IF(J8="B",$N$24,$N$26)))</f>
        <v/>
      </c>
      <c r="L8" s="12"/>
      <c r="M8" s="24" t="s">
        <v>75</v>
      </c>
      <c r="N8" s="25">
        <f>COUNTIFS($H$8:$H$27,5,$I$8:$I$27,1)</f>
        <v>0</v>
      </c>
      <c r="O8" s="26">
        <f>COUNTIFS($H$8:$H$27,5,$I$8:$I$27,2)</f>
        <v>0</v>
      </c>
      <c r="P8" s="26">
        <f>COUNTIFS($H$8:$H$27,5,$I$8:$I$27,3)</f>
        <v>0</v>
      </c>
      <c r="Q8" s="26">
        <f>COUNTIFS($H$8:$H$27,5,$I$8:$I$27,4)</f>
        <v>0</v>
      </c>
      <c r="R8" s="27">
        <f>COUNTIFS($H$8:$H$27,5,$I$8:$I$27,5)</f>
        <v>0</v>
      </c>
      <c r="S8" s="12"/>
      <c r="T8" s="139">
        <v>5</v>
      </c>
      <c r="U8" s="130" t="s">
        <v>79</v>
      </c>
      <c r="V8" s="130" t="s">
        <v>80</v>
      </c>
      <c r="W8" s="130" t="s">
        <v>81</v>
      </c>
      <c r="X8" s="123" t="s">
        <v>82</v>
      </c>
    </row>
    <row r="9" spans="1:24" ht="24" customHeight="1">
      <c r="A9" s="18">
        <v>2</v>
      </c>
      <c r="B9" s="19"/>
      <c r="C9" s="20" t="str">
        <f>IF(B9="","",IFERROR(INDEX(tb_pcm_ativos[descricao_ativo],MATCH(B9,tb_pcm_ativos[tag],0)),"fora do cadastro"))</f>
        <v/>
      </c>
      <c r="D9" s="20" t="str">
        <f>IF(B9="","",IFERROR(INDEX(tb_pcm_ativos[familia],MATCH(B9,tb_pcm_ativos[tag],0))&amp;"",""))</f>
        <v/>
      </c>
      <c r="E9" s="21"/>
      <c r="F9" s="21"/>
      <c r="G9" s="21"/>
      <c r="H9" s="22" t="str">
        <f t="shared" si="0"/>
        <v/>
      </c>
      <c r="I9" s="21"/>
      <c r="J9" s="22" t="str">
        <f t="shared" si="1"/>
        <v/>
      </c>
      <c r="K9" s="23" t="str">
        <f t="shared" si="2"/>
        <v/>
      </c>
      <c r="L9" s="12"/>
      <c r="M9" s="24" t="s">
        <v>74</v>
      </c>
      <c r="N9" s="25">
        <f>COUNTIFS($H$8:$H$27,4,$I$8:$I$27,1)</f>
        <v>0</v>
      </c>
      <c r="O9" s="25">
        <f>COUNTIFS($H$8:$H$27,4,$I$8:$I$27,2)</f>
        <v>0</v>
      </c>
      <c r="P9" s="26">
        <f>COUNTIFS($H$8:$H$27,4,$I$8:$I$27,3)</f>
        <v>0</v>
      </c>
      <c r="Q9" s="26">
        <f>COUNTIFS($H$8:$H$27,4,$I$8:$I$27,4)</f>
        <v>0</v>
      </c>
      <c r="R9" s="27">
        <f>COUNTIFS($H$8:$H$27,4,$I$8:$I$27,5)</f>
        <v>0</v>
      </c>
      <c r="S9" s="12"/>
      <c r="T9" s="140"/>
      <c r="U9" s="124"/>
      <c r="V9" s="124"/>
      <c r="W9" s="124"/>
      <c r="X9" s="124"/>
    </row>
    <row r="10" spans="1:24" ht="24" customHeight="1">
      <c r="A10" s="18">
        <v>3</v>
      </c>
      <c r="B10" s="19"/>
      <c r="C10" s="20" t="str">
        <f>IF(B10="","",IFERROR(INDEX(tb_pcm_ativos[descricao_ativo],MATCH(B10,tb_pcm_ativos[tag],0)),"fora do cadastro"))</f>
        <v/>
      </c>
      <c r="D10" s="20" t="str">
        <f>IF(B10="","",IFERROR(INDEX(tb_pcm_ativos[familia],MATCH(B10,tb_pcm_ativos[tag],0))&amp;"",""))</f>
        <v/>
      </c>
      <c r="E10" s="21"/>
      <c r="F10" s="21"/>
      <c r="G10" s="21"/>
      <c r="H10" s="22" t="str">
        <f t="shared" si="0"/>
        <v/>
      </c>
      <c r="I10" s="21"/>
      <c r="J10" s="22" t="str">
        <f t="shared" si="1"/>
        <v/>
      </c>
      <c r="K10" s="23" t="str">
        <f t="shared" si="2"/>
        <v/>
      </c>
      <c r="L10" s="12"/>
      <c r="M10" s="24" t="s">
        <v>73</v>
      </c>
      <c r="N10" s="28">
        <f>COUNTIFS($H$8:$H$27,3,$I$8:$I$27,1)</f>
        <v>0</v>
      </c>
      <c r="O10" s="25">
        <f>COUNTIFS($H$8:$H$27,3,$I$8:$I$27,2)</f>
        <v>0</v>
      </c>
      <c r="P10" s="25">
        <f>COUNTIFS($H$8:$H$27,3,$I$8:$I$27,3)</f>
        <v>0</v>
      </c>
      <c r="Q10" s="26">
        <f>COUNTIFS($H$8:$H$27,3,$I$8:$I$27,4)</f>
        <v>0</v>
      </c>
      <c r="R10" s="27">
        <f>COUNTIFS($H$8:$H$27,3,$I$8:$I$27,5)</f>
        <v>0</v>
      </c>
      <c r="S10" s="12"/>
      <c r="T10" s="157">
        <v>4</v>
      </c>
      <c r="U10" s="130" t="s">
        <v>83</v>
      </c>
      <c r="V10" s="130" t="s">
        <v>84</v>
      </c>
      <c r="W10" s="130" t="s">
        <v>85</v>
      </c>
      <c r="X10" s="123" t="s">
        <v>86</v>
      </c>
    </row>
    <row r="11" spans="1:24" ht="24" customHeight="1">
      <c r="A11" s="18">
        <v>4</v>
      </c>
      <c r="B11" s="19"/>
      <c r="C11" s="20" t="str">
        <f>IF(B11="","",IFERROR(INDEX(tb_pcm_ativos[descricao_ativo],MATCH(B11,tb_pcm_ativos[tag],0)),"fora do cadastro"))</f>
        <v/>
      </c>
      <c r="D11" s="20" t="str">
        <f>IF(B11="","",IFERROR(INDEX(tb_pcm_ativos[familia],MATCH(B11,tb_pcm_ativos[tag],0))&amp;"",""))</f>
        <v/>
      </c>
      <c r="E11" s="21"/>
      <c r="F11" s="21"/>
      <c r="G11" s="21"/>
      <c r="H11" s="22" t="str">
        <f t="shared" si="0"/>
        <v/>
      </c>
      <c r="I11" s="21"/>
      <c r="J11" s="22" t="str">
        <f t="shared" si="1"/>
        <v/>
      </c>
      <c r="K11" s="23" t="str">
        <f t="shared" si="2"/>
        <v/>
      </c>
      <c r="L11" s="12"/>
      <c r="M11" s="24" t="s">
        <v>72</v>
      </c>
      <c r="N11" s="28">
        <f>COUNTIFS($H$8:$H$27,2,$I$8:$I$27,1)</f>
        <v>0</v>
      </c>
      <c r="O11" s="28">
        <f>COUNTIFS($H$8:$H$27,2,$I$8:$I$27,2)</f>
        <v>0</v>
      </c>
      <c r="P11" s="25">
        <f>COUNTIFS($H$8:$H$27,2,$I$8:$I$27,3)</f>
        <v>0</v>
      </c>
      <c r="Q11" s="25">
        <f>COUNTIFS($H$8:$H$27,2,$I$8:$I$27,4)</f>
        <v>0</v>
      </c>
      <c r="R11" s="27">
        <f>COUNTIFS($H$8:$H$27,2,$I$8:$I$27,5)</f>
        <v>0</v>
      </c>
      <c r="S11" s="12"/>
      <c r="T11" s="158"/>
      <c r="U11" s="124"/>
      <c r="V11" s="124"/>
      <c r="W11" s="124"/>
      <c r="X11" s="124"/>
    </row>
    <row r="12" spans="1:24" ht="24" customHeight="1">
      <c r="A12" s="18">
        <v>5</v>
      </c>
      <c r="B12" s="19"/>
      <c r="C12" s="20" t="str">
        <f>IF(B12="","",IFERROR(INDEX(tb_pcm_ativos[descricao_ativo],MATCH(B12,tb_pcm_ativos[tag],0)),"fora do cadastro"))</f>
        <v/>
      </c>
      <c r="D12" s="20" t="str">
        <f>IF(B12="","",IFERROR(INDEX(tb_pcm_ativos[familia],MATCH(B12,tb_pcm_ativos[tag],0))&amp;"",""))</f>
        <v/>
      </c>
      <c r="E12" s="21"/>
      <c r="F12" s="21"/>
      <c r="G12" s="21"/>
      <c r="H12" s="22" t="str">
        <f t="shared" si="0"/>
        <v/>
      </c>
      <c r="I12" s="21"/>
      <c r="J12" s="22" t="str">
        <f t="shared" si="1"/>
        <v/>
      </c>
      <c r="K12" s="23" t="str">
        <f t="shared" si="2"/>
        <v/>
      </c>
      <c r="L12" s="12"/>
      <c r="M12" s="24" t="s">
        <v>87</v>
      </c>
      <c r="N12" s="28">
        <f>COUNTIFS($H$8:$H$27,1,$I$8:$I$27,1)</f>
        <v>0</v>
      </c>
      <c r="O12" s="28">
        <f>COUNTIFS($H$8:$H$27,1,$I$8:$I$27,2)</f>
        <v>0</v>
      </c>
      <c r="P12" s="28">
        <f>COUNTIFS($H$8:$H$27,1,$I$8:$I$27,3)</f>
        <v>0</v>
      </c>
      <c r="Q12" s="25">
        <f>COUNTIFS($H$8:$H$27,1,$I$8:$I$27,4)</f>
        <v>0</v>
      </c>
      <c r="R12" s="29">
        <f>COUNTIFS($H$8:$H$27,1,$I$8:$I$27,5)</f>
        <v>0</v>
      </c>
      <c r="S12" s="12"/>
      <c r="T12" s="136">
        <v>3</v>
      </c>
      <c r="U12" s="130" t="s">
        <v>88</v>
      </c>
      <c r="V12" s="130" t="s">
        <v>89</v>
      </c>
      <c r="W12" s="130" t="s">
        <v>90</v>
      </c>
      <c r="X12" s="123" t="s">
        <v>91</v>
      </c>
    </row>
    <row r="13" spans="1:24" ht="24" customHeight="1">
      <c r="A13" s="18">
        <v>6</v>
      </c>
      <c r="B13" s="19"/>
      <c r="C13" s="20" t="str">
        <f>IF(B13="","",IFERROR(INDEX(tb_pcm_ativos[descricao_ativo],MATCH(B13,tb_pcm_ativos[tag],0)),"fora do cadastro"))</f>
        <v/>
      </c>
      <c r="D13" s="20" t="str">
        <f>IF(B13="","",IFERROR(INDEX(tb_pcm_ativos[familia],MATCH(B13,tb_pcm_ativos[tag],0))&amp;"",""))</f>
        <v/>
      </c>
      <c r="E13" s="21"/>
      <c r="F13" s="21"/>
      <c r="G13" s="21"/>
      <c r="H13" s="22" t="str">
        <f t="shared" si="0"/>
        <v/>
      </c>
      <c r="I13" s="21"/>
      <c r="J13" s="22" t="str">
        <f t="shared" si="1"/>
        <v/>
      </c>
      <c r="K13" s="23" t="str">
        <f t="shared" si="2"/>
        <v/>
      </c>
      <c r="L13" s="12"/>
      <c r="M13" s="129" t="s">
        <v>92</v>
      </c>
      <c r="N13" s="121"/>
      <c r="O13" s="121"/>
      <c r="P13" s="121"/>
      <c r="Q13" s="121"/>
      <c r="R13" s="122"/>
      <c r="S13" s="12"/>
      <c r="T13" s="137"/>
      <c r="U13" s="124"/>
      <c r="V13" s="124"/>
      <c r="W13" s="124"/>
      <c r="X13" s="124"/>
    </row>
    <row r="14" spans="1:24" ht="24" customHeight="1">
      <c r="A14" s="18">
        <v>7</v>
      </c>
      <c r="B14" s="19"/>
      <c r="C14" s="20" t="str">
        <f>IF(B14="","",IFERROR(INDEX(tb_pcm_ativos[descricao_ativo],MATCH(B14,tb_pcm_ativos[tag],0)),"fora do cadastro"))</f>
        <v/>
      </c>
      <c r="D14" s="20" t="str">
        <f>IF(B14="","",IFERROR(INDEX(tb_pcm_ativos[familia],MATCH(B14,tb_pcm_ativos[tag],0))&amp;"",""))</f>
        <v/>
      </c>
      <c r="E14" s="21"/>
      <c r="F14" s="21"/>
      <c r="G14" s="21"/>
      <c r="H14" s="22" t="str">
        <f t="shared" si="0"/>
        <v/>
      </c>
      <c r="I14" s="21"/>
      <c r="J14" s="22" t="str">
        <f t="shared" si="1"/>
        <v/>
      </c>
      <c r="K14" s="23" t="str">
        <f t="shared" si="2"/>
        <v/>
      </c>
      <c r="L14" s="12"/>
      <c r="M14" s="12"/>
      <c r="N14" s="12"/>
      <c r="O14" s="12"/>
      <c r="P14" s="12"/>
      <c r="Q14" s="12"/>
      <c r="R14" s="12"/>
      <c r="S14" s="12"/>
      <c r="T14" s="118">
        <v>2</v>
      </c>
      <c r="U14" s="130" t="s">
        <v>93</v>
      </c>
      <c r="V14" s="130" t="s">
        <v>94</v>
      </c>
      <c r="W14" s="130" t="s">
        <v>95</v>
      </c>
      <c r="X14" s="123" t="s">
        <v>96</v>
      </c>
    </row>
    <row r="15" spans="1:24" ht="20" customHeight="1">
      <c r="A15" s="18">
        <v>8</v>
      </c>
      <c r="B15" s="19"/>
      <c r="C15" s="20" t="str">
        <f>IF(B15="","",IFERROR(INDEX(tb_pcm_ativos[descricao_ativo],MATCH(B15,tb_pcm_ativos[tag],0)),"fora do cadastro"))</f>
        <v/>
      </c>
      <c r="D15" s="20" t="str">
        <f>IF(B15="","",IFERROR(INDEX(tb_pcm_ativos[familia],MATCH(B15,tb_pcm_ativos[tag],0))&amp;"",""))</f>
        <v/>
      </c>
      <c r="E15" s="21"/>
      <c r="F15" s="21"/>
      <c r="G15" s="21"/>
      <c r="H15" s="22" t="str">
        <f t="shared" si="0"/>
        <v/>
      </c>
      <c r="I15" s="21"/>
      <c r="J15" s="22" t="str">
        <f t="shared" si="1"/>
        <v/>
      </c>
      <c r="K15" s="23" t="str">
        <f t="shared" si="2"/>
        <v/>
      </c>
      <c r="L15" s="12"/>
      <c r="M15" s="131" t="s">
        <v>97</v>
      </c>
      <c r="N15" s="132"/>
      <c r="O15" s="132"/>
      <c r="P15" s="132"/>
      <c r="Q15" s="132"/>
      <c r="R15" s="133"/>
      <c r="S15" s="12"/>
      <c r="T15" s="119"/>
      <c r="U15" s="124"/>
      <c r="V15" s="124"/>
      <c r="W15" s="124"/>
      <c r="X15" s="124"/>
    </row>
    <row r="16" spans="1:24" ht="24" customHeight="1">
      <c r="A16" s="18">
        <v>9</v>
      </c>
      <c r="B16" s="19"/>
      <c r="C16" s="20" t="str">
        <f>IF(B16="","",IFERROR(INDEX(tb_pcm_ativos[descricao_ativo],MATCH(B16,tb_pcm_ativos[tag],0)),"fora do cadastro"))</f>
        <v/>
      </c>
      <c r="D16" s="20" t="str">
        <f>IF(B16="","",IFERROR(INDEX(tb_pcm_ativos[familia],MATCH(B16,tb_pcm_ativos[tag],0))&amp;"",""))</f>
        <v/>
      </c>
      <c r="E16" s="21"/>
      <c r="F16" s="21"/>
      <c r="G16" s="21"/>
      <c r="H16" s="22" t="str">
        <f t="shared" si="0"/>
        <v/>
      </c>
      <c r="I16" s="21"/>
      <c r="J16" s="22" t="str">
        <f t="shared" si="1"/>
        <v/>
      </c>
      <c r="K16" s="23" t="str">
        <f t="shared" si="2"/>
        <v/>
      </c>
      <c r="L16" s="12"/>
      <c r="M16" s="149" t="s">
        <v>98</v>
      </c>
      <c r="N16" s="88"/>
      <c r="O16" s="88"/>
      <c r="P16" s="88"/>
      <c r="Q16" s="88"/>
      <c r="R16" s="114"/>
      <c r="S16" s="12"/>
      <c r="T16" s="150">
        <v>1</v>
      </c>
      <c r="U16" s="130" t="s">
        <v>99</v>
      </c>
      <c r="V16" s="130" t="s">
        <v>100</v>
      </c>
      <c r="W16" s="130" t="s">
        <v>101</v>
      </c>
      <c r="X16" s="123" t="s">
        <v>102</v>
      </c>
    </row>
    <row r="17" spans="1:24" ht="24" customHeight="1">
      <c r="A17" s="18">
        <v>10</v>
      </c>
      <c r="B17" s="19"/>
      <c r="C17" s="20" t="str">
        <f>IF(B17="","",IFERROR(INDEX(tb_pcm_ativos[descricao_ativo],MATCH(B17,tb_pcm_ativos[tag],0)),"fora do cadastro"))</f>
        <v/>
      </c>
      <c r="D17" s="20" t="str">
        <f>IF(B17="","",IFERROR(INDEX(tb_pcm_ativos[familia],MATCH(B17,tb_pcm_ativos[tag],0))&amp;"",""))</f>
        <v/>
      </c>
      <c r="E17" s="21"/>
      <c r="F17" s="21"/>
      <c r="G17" s="21"/>
      <c r="H17" s="22" t="str">
        <f t="shared" si="0"/>
        <v/>
      </c>
      <c r="I17" s="21"/>
      <c r="J17" s="22" t="str">
        <f t="shared" si="1"/>
        <v/>
      </c>
      <c r="K17" s="23" t="str">
        <f t="shared" si="2"/>
        <v/>
      </c>
      <c r="L17" s="12"/>
      <c r="M17" s="126"/>
      <c r="N17" s="88"/>
      <c r="O17" s="88"/>
      <c r="P17" s="88"/>
      <c r="Q17" s="88"/>
      <c r="R17" s="114"/>
      <c r="S17" s="12"/>
      <c r="T17" s="151"/>
      <c r="U17" s="124"/>
      <c r="V17" s="124"/>
      <c r="W17" s="124"/>
      <c r="X17" s="124"/>
    </row>
    <row r="18" spans="1:24" ht="24" customHeight="1">
      <c r="A18" s="18">
        <v>11</v>
      </c>
      <c r="B18" s="19"/>
      <c r="C18" s="20" t="str">
        <f>IF(B18="","",IFERROR(INDEX(tb_pcm_ativos[descricao_ativo],MATCH(B18,tb_pcm_ativos[tag],0)),"fora do cadastro"))</f>
        <v/>
      </c>
      <c r="D18" s="20" t="str">
        <f>IF(B18="","",IFERROR(INDEX(tb_pcm_ativos[familia],MATCH(B18,tb_pcm_ativos[tag],0))&amp;"",""))</f>
        <v/>
      </c>
      <c r="E18" s="21"/>
      <c r="F18" s="21"/>
      <c r="G18" s="21"/>
      <c r="H18" s="22" t="str">
        <f t="shared" si="0"/>
        <v/>
      </c>
      <c r="I18" s="21"/>
      <c r="J18" s="22" t="str">
        <f t="shared" si="1"/>
        <v/>
      </c>
      <c r="K18" s="23" t="str">
        <f t="shared" si="2"/>
        <v/>
      </c>
      <c r="L18" s="12"/>
      <c r="M18" s="126"/>
      <c r="N18" s="88"/>
      <c r="O18" s="88"/>
      <c r="P18" s="88"/>
      <c r="Q18" s="88"/>
      <c r="R18" s="114"/>
      <c r="S18" s="12"/>
      <c r="T18" s="125" t="s">
        <v>103</v>
      </c>
      <c r="U18" s="88"/>
      <c r="V18" s="88"/>
      <c r="W18" s="88"/>
      <c r="X18" s="114"/>
    </row>
    <row r="19" spans="1:24" ht="24" customHeight="1">
      <c r="A19" s="18">
        <v>12</v>
      </c>
      <c r="B19" s="19"/>
      <c r="C19" s="20" t="str">
        <f>IF(B19="","",IFERROR(INDEX(tb_pcm_ativos[descricao_ativo],MATCH(B19,tb_pcm_ativos[tag],0)),"fora do cadastro"))</f>
        <v/>
      </c>
      <c r="D19" s="20" t="str">
        <f>IF(B19="","",IFERROR(INDEX(tb_pcm_ativos[familia],MATCH(B19,tb_pcm_ativos[tag],0))&amp;"",""))</f>
        <v/>
      </c>
      <c r="E19" s="21"/>
      <c r="F19" s="21"/>
      <c r="G19" s="21"/>
      <c r="H19" s="22" t="str">
        <f t="shared" si="0"/>
        <v/>
      </c>
      <c r="I19" s="21"/>
      <c r="J19" s="22" t="str">
        <f t="shared" si="1"/>
        <v/>
      </c>
      <c r="K19" s="23" t="str">
        <f t="shared" si="2"/>
        <v/>
      </c>
      <c r="L19" s="12"/>
      <c r="M19" s="126"/>
      <c r="N19" s="88"/>
      <c r="O19" s="88"/>
      <c r="P19" s="88"/>
      <c r="Q19" s="88"/>
      <c r="R19" s="114"/>
      <c r="S19" s="12"/>
      <c r="T19" s="126"/>
      <c r="U19" s="88"/>
      <c r="V19" s="88"/>
      <c r="W19" s="88"/>
      <c r="X19" s="114"/>
    </row>
    <row r="20" spans="1:24" ht="24" customHeight="1">
      <c r="A20" s="18">
        <v>13</v>
      </c>
      <c r="B20" s="19"/>
      <c r="C20" s="20" t="str">
        <f>IF(B20="","",IFERROR(INDEX(tb_pcm_ativos[descricao_ativo],MATCH(B20,tb_pcm_ativos[tag],0)),"fora do cadastro"))</f>
        <v/>
      </c>
      <c r="D20" s="20" t="str">
        <f>IF(B20="","",IFERROR(INDEX(tb_pcm_ativos[familia],MATCH(B20,tb_pcm_ativos[tag],0))&amp;"",""))</f>
        <v/>
      </c>
      <c r="E20" s="21"/>
      <c r="F20" s="21"/>
      <c r="G20" s="21"/>
      <c r="H20" s="22" t="str">
        <f t="shared" si="0"/>
        <v/>
      </c>
      <c r="I20" s="21"/>
      <c r="J20" s="22" t="str">
        <f t="shared" si="1"/>
        <v/>
      </c>
      <c r="K20" s="23" t="str">
        <f t="shared" si="2"/>
        <v/>
      </c>
      <c r="L20" s="12"/>
      <c r="M20" s="126"/>
      <c r="N20" s="88"/>
      <c r="O20" s="88"/>
      <c r="P20" s="88"/>
      <c r="Q20" s="88"/>
      <c r="R20" s="114"/>
      <c r="S20" s="12"/>
      <c r="T20" s="127"/>
      <c r="U20" s="121"/>
      <c r="V20" s="121"/>
      <c r="W20" s="121"/>
      <c r="X20" s="122"/>
    </row>
    <row r="21" spans="1:24" ht="24" customHeight="1">
      <c r="A21" s="18">
        <v>14</v>
      </c>
      <c r="B21" s="19"/>
      <c r="C21" s="20" t="str">
        <f>IF(B21="","",IFERROR(INDEX(tb_pcm_ativos[descricao_ativo],MATCH(B21,tb_pcm_ativos[tag],0)),"fora do cadastro"))</f>
        <v/>
      </c>
      <c r="D21" s="20" t="str">
        <f>IF(B21="","",IFERROR(INDEX(tb_pcm_ativos[familia],MATCH(B21,tb_pcm_ativos[tag],0))&amp;"",""))</f>
        <v/>
      </c>
      <c r="E21" s="21"/>
      <c r="F21" s="21"/>
      <c r="G21" s="21"/>
      <c r="H21" s="22" t="str">
        <f t="shared" si="0"/>
        <v/>
      </c>
      <c r="I21" s="21"/>
      <c r="J21" s="22" t="str">
        <f t="shared" si="1"/>
        <v/>
      </c>
      <c r="K21" s="23" t="str">
        <f t="shared" si="2"/>
        <v/>
      </c>
      <c r="L21" s="12"/>
      <c r="M21" s="126"/>
      <c r="N21" s="88"/>
      <c r="O21" s="88"/>
      <c r="P21" s="88"/>
      <c r="Q21" s="88"/>
      <c r="R21" s="114"/>
      <c r="S21" s="12"/>
      <c r="T21" s="12"/>
      <c r="U21" s="12"/>
      <c r="V21" s="12"/>
      <c r="W21" s="12"/>
      <c r="X21" s="12"/>
    </row>
    <row r="22" spans="1:24" ht="24" customHeight="1">
      <c r="A22" s="18">
        <v>15</v>
      </c>
      <c r="B22" s="19"/>
      <c r="C22" s="20" t="str">
        <f>IF(B22="","",IFERROR(INDEX(tb_pcm_ativos[descricao_ativo],MATCH(B22,tb_pcm_ativos[tag],0)),"fora do cadastro"))</f>
        <v/>
      </c>
      <c r="D22" s="20" t="str">
        <f>IF(B22="","",IFERROR(INDEX(tb_pcm_ativos[familia],MATCH(B22,tb_pcm_ativos[tag],0))&amp;"",""))</f>
        <v/>
      </c>
      <c r="E22" s="21"/>
      <c r="F22" s="21"/>
      <c r="G22" s="21"/>
      <c r="H22" s="22" t="str">
        <f t="shared" si="0"/>
        <v/>
      </c>
      <c r="I22" s="21"/>
      <c r="J22" s="22" t="str">
        <f t="shared" si="1"/>
        <v/>
      </c>
      <c r="K22" s="23" t="str">
        <f t="shared" si="2"/>
        <v/>
      </c>
      <c r="L22" s="12"/>
      <c r="M22" s="134" t="s">
        <v>104</v>
      </c>
      <c r="N22" s="113" t="s">
        <v>105</v>
      </c>
      <c r="O22" s="88"/>
      <c r="P22" s="88"/>
      <c r="Q22" s="88"/>
      <c r="R22" s="114"/>
      <c r="S22" s="12"/>
      <c r="T22" s="12"/>
      <c r="U22" s="12"/>
      <c r="V22" s="12"/>
      <c r="W22" s="12"/>
      <c r="X22" s="12"/>
    </row>
    <row r="23" spans="1:24" ht="24" customHeight="1">
      <c r="A23" s="18">
        <v>16</v>
      </c>
      <c r="B23" s="19"/>
      <c r="C23" s="20" t="str">
        <f>IF(B23="","",IFERROR(INDEX(tb_pcm_ativos[descricao_ativo],MATCH(B23,tb_pcm_ativos[tag],0)),"fora do cadastro"))</f>
        <v/>
      </c>
      <c r="D23" s="20" t="str">
        <f>IF(B23="","",IFERROR(INDEX(tb_pcm_ativos[familia],MATCH(B23,tb_pcm_ativos[tag],0))&amp;"",""))</f>
        <v/>
      </c>
      <c r="E23" s="21"/>
      <c r="F23" s="21"/>
      <c r="G23" s="21"/>
      <c r="H23" s="22" t="str">
        <f t="shared" si="0"/>
        <v/>
      </c>
      <c r="I23" s="21"/>
      <c r="J23" s="22" t="str">
        <f t="shared" si="1"/>
        <v/>
      </c>
      <c r="K23" s="23" t="str">
        <f t="shared" si="2"/>
        <v/>
      </c>
      <c r="L23" s="12"/>
      <c r="M23" s="127"/>
      <c r="N23" s="120" t="s">
        <v>106</v>
      </c>
      <c r="O23" s="121"/>
      <c r="P23" s="121"/>
      <c r="Q23" s="121"/>
      <c r="R23" s="122"/>
      <c r="S23" s="12"/>
      <c r="T23" s="12"/>
      <c r="U23" s="12"/>
      <c r="V23" s="12"/>
      <c r="W23" s="12"/>
      <c r="X23" s="12"/>
    </row>
    <row r="24" spans="1:24" ht="24" customHeight="1">
      <c r="A24" s="18">
        <v>17</v>
      </c>
      <c r="B24" s="19"/>
      <c r="C24" s="20" t="str">
        <f>IF(B24="","",IFERROR(INDEX(tb_pcm_ativos[descricao_ativo],MATCH(B24,tb_pcm_ativos[tag],0)),"fora do cadastro"))</f>
        <v/>
      </c>
      <c r="D24" s="20" t="str">
        <f>IF(B24="","",IFERROR(INDEX(tb_pcm_ativos[familia],MATCH(B24,tb_pcm_ativos[tag],0))&amp;"",""))</f>
        <v/>
      </c>
      <c r="E24" s="21"/>
      <c r="F24" s="21"/>
      <c r="G24" s="21"/>
      <c r="H24" s="22" t="str">
        <f t="shared" si="0"/>
        <v/>
      </c>
      <c r="I24" s="21"/>
      <c r="J24" s="22" t="str">
        <f t="shared" si="1"/>
        <v/>
      </c>
      <c r="K24" s="23" t="str">
        <f t="shared" si="2"/>
        <v/>
      </c>
      <c r="L24" s="12"/>
      <c r="M24" s="141" t="s">
        <v>107</v>
      </c>
      <c r="N24" s="113" t="s">
        <v>108</v>
      </c>
      <c r="O24" s="88"/>
      <c r="P24" s="88"/>
      <c r="Q24" s="88"/>
      <c r="R24" s="114"/>
      <c r="S24" s="12"/>
      <c r="T24" s="12"/>
      <c r="U24" s="12"/>
      <c r="V24" s="12"/>
      <c r="W24" s="12"/>
      <c r="X24" s="12"/>
    </row>
    <row r="25" spans="1:24" ht="24" customHeight="1">
      <c r="A25" s="18">
        <v>18</v>
      </c>
      <c r="B25" s="19"/>
      <c r="C25" s="20" t="str">
        <f>IF(B25="","",IFERROR(INDEX(tb_pcm_ativos[descricao_ativo],MATCH(B25,tb_pcm_ativos[tag],0)),"fora do cadastro"))</f>
        <v/>
      </c>
      <c r="D25" s="20" t="str">
        <f>IF(B25="","",IFERROR(INDEX(tb_pcm_ativos[familia],MATCH(B25,tb_pcm_ativos[tag],0))&amp;"",""))</f>
        <v/>
      </c>
      <c r="E25" s="21"/>
      <c r="F25" s="21"/>
      <c r="G25" s="21"/>
      <c r="H25" s="22" t="str">
        <f t="shared" si="0"/>
        <v/>
      </c>
      <c r="I25" s="21"/>
      <c r="J25" s="22" t="str">
        <f t="shared" si="1"/>
        <v/>
      </c>
      <c r="K25" s="23" t="str">
        <f t="shared" si="2"/>
        <v/>
      </c>
      <c r="L25" s="12"/>
      <c r="M25" s="127"/>
      <c r="N25" s="120" t="s">
        <v>109</v>
      </c>
      <c r="O25" s="121"/>
      <c r="P25" s="121"/>
      <c r="Q25" s="121"/>
      <c r="R25" s="122"/>
      <c r="S25" s="12"/>
      <c r="T25" s="12"/>
      <c r="U25" s="12"/>
      <c r="V25" s="12"/>
      <c r="W25" s="12"/>
      <c r="X25" s="12"/>
    </row>
    <row r="26" spans="1:24" ht="24" customHeight="1">
      <c r="A26" s="18">
        <v>19</v>
      </c>
      <c r="B26" s="19"/>
      <c r="C26" s="20" t="str">
        <f>IF(B26="","",IFERROR(INDEX(tb_pcm_ativos[descricao_ativo],MATCH(B26,tb_pcm_ativos[tag],0)),"fora do cadastro"))</f>
        <v/>
      </c>
      <c r="D26" s="20" t="str">
        <f>IF(B26="","",IFERROR(INDEX(tb_pcm_ativos[familia],MATCH(B26,tb_pcm_ativos[tag],0))&amp;"",""))</f>
        <v/>
      </c>
      <c r="E26" s="21"/>
      <c r="F26" s="21"/>
      <c r="G26" s="21"/>
      <c r="H26" s="22" t="str">
        <f t="shared" si="0"/>
        <v/>
      </c>
      <c r="I26" s="21"/>
      <c r="J26" s="22" t="str">
        <f t="shared" si="1"/>
        <v/>
      </c>
      <c r="K26" s="23" t="str">
        <f t="shared" si="2"/>
        <v/>
      </c>
      <c r="L26" s="12"/>
      <c r="M26" s="147" t="s">
        <v>110</v>
      </c>
      <c r="N26" s="113" t="s">
        <v>111</v>
      </c>
      <c r="O26" s="88"/>
      <c r="P26" s="88"/>
      <c r="Q26" s="88"/>
      <c r="R26" s="114"/>
      <c r="S26" s="12"/>
      <c r="T26" s="12"/>
      <c r="U26" s="12"/>
      <c r="V26" s="12"/>
      <c r="W26" s="12"/>
      <c r="X26" s="12"/>
    </row>
    <row r="27" spans="1:24" ht="24" customHeight="1">
      <c r="A27" s="18">
        <v>20</v>
      </c>
      <c r="B27" s="19"/>
      <c r="C27" s="20" t="str">
        <f>IF(B27="","",IFERROR(INDEX(tb_pcm_ativos[descricao_ativo],MATCH(B27,tb_pcm_ativos[tag],0)),"fora do cadastro"))</f>
        <v/>
      </c>
      <c r="D27" s="20" t="str">
        <f>IF(B27="","",IFERROR(INDEX(tb_pcm_ativos[familia],MATCH(B27,tb_pcm_ativos[tag],0))&amp;"",""))</f>
        <v/>
      </c>
      <c r="E27" s="21"/>
      <c r="F27" s="21"/>
      <c r="G27" s="21"/>
      <c r="H27" s="22" t="str">
        <f t="shared" si="0"/>
        <v/>
      </c>
      <c r="I27" s="21"/>
      <c r="J27" s="22" t="str">
        <f t="shared" si="1"/>
        <v/>
      </c>
      <c r="K27" s="23" t="str">
        <f t="shared" si="2"/>
        <v/>
      </c>
      <c r="L27" s="12"/>
      <c r="M27" s="127"/>
      <c r="N27" s="120" t="s">
        <v>112</v>
      </c>
      <c r="O27" s="121"/>
      <c r="P27" s="121"/>
      <c r="Q27" s="121"/>
      <c r="R27" s="122"/>
      <c r="S27" s="12"/>
      <c r="T27" s="12"/>
      <c r="U27" s="12"/>
      <c r="V27" s="12"/>
      <c r="W27" s="12"/>
      <c r="X27" s="12"/>
    </row>
    <row r="28" spans="1:24" ht="20" customHeight="1">
      <c r="A28" s="143" t="s">
        <v>113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</row>
  </sheetData>
  <mergeCells count="56">
    <mergeCell ref="N27:R27"/>
    <mergeCell ref="E2:N2"/>
    <mergeCell ref="T10:T11"/>
    <mergeCell ref="V14:V15"/>
    <mergeCell ref="A28:R28"/>
    <mergeCell ref="W14:W15"/>
    <mergeCell ref="X14:X15"/>
    <mergeCell ref="E4:K4"/>
    <mergeCell ref="M4:R4"/>
    <mergeCell ref="V16:V17"/>
    <mergeCell ref="V12:V13"/>
    <mergeCell ref="U10:U11"/>
    <mergeCell ref="M26:M27"/>
    <mergeCell ref="I6:K6"/>
    <mergeCell ref="M16:R21"/>
    <mergeCell ref="W10:W11"/>
    <mergeCell ref="T16:T17"/>
    <mergeCell ref="T6:X6"/>
    <mergeCell ref="B5:C5"/>
    <mergeCell ref="X12:X13"/>
    <mergeCell ref="X10:X11"/>
    <mergeCell ref="M24:M25"/>
    <mergeCell ref="A6:D6"/>
    <mergeCell ref="U8:U9"/>
    <mergeCell ref="U14:U15"/>
    <mergeCell ref="W8:W9"/>
    <mergeCell ref="E6:H6"/>
    <mergeCell ref="N24:R24"/>
    <mergeCell ref="V8:V9"/>
    <mergeCell ref="X8:X9"/>
    <mergeCell ref="X16:X17"/>
    <mergeCell ref="T18:X20"/>
    <mergeCell ref="O2:R2"/>
    <mergeCell ref="M13:R13"/>
    <mergeCell ref="N22:R22"/>
    <mergeCell ref="V10:V11"/>
    <mergeCell ref="U16:U17"/>
    <mergeCell ref="M6:R6"/>
    <mergeCell ref="W16:W17"/>
    <mergeCell ref="M15:R15"/>
    <mergeCell ref="M22:M23"/>
    <mergeCell ref="T12:T13"/>
    <mergeCell ref="M3:R3"/>
    <mergeCell ref="T8:T9"/>
    <mergeCell ref="U12:U13"/>
    <mergeCell ref="W12:W13"/>
    <mergeCell ref="A1:D2"/>
    <mergeCell ref="N26:R26"/>
    <mergeCell ref="A4:D4"/>
    <mergeCell ref="T14:T15"/>
    <mergeCell ref="N25:R25"/>
    <mergeCell ref="E3:K3"/>
    <mergeCell ref="N23:R23"/>
    <mergeCell ref="O1:R1"/>
    <mergeCell ref="E1:N1"/>
    <mergeCell ref="A3:D3"/>
  </mergeCells>
  <conditionalFormatting sqref="E8:I27">
    <cfRule type="expression" dxfId="19" priority="1" stopIfTrue="1">
      <formula>E8=1</formula>
    </cfRule>
    <cfRule type="expression" dxfId="18" priority="2" stopIfTrue="1">
      <formula>E8=2</formula>
    </cfRule>
    <cfRule type="expression" dxfId="17" priority="3" stopIfTrue="1">
      <formula>E8=3</formula>
    </cfRule>
    <cfRule type="expression" dxfId="16" priority="4" stopIfTrue="1">
      <formula>E8=4</formula>
    </cfRule>
    <cfRule type="expression" dxfId="15" priority="5" stopIfTrue="1">
      <formula>E8=5</formula>
    </cfRule>
  </conditionalFormatting>
  <conditionalFormatting sqref="J8:J27">
    <cfRule type="expression" dxfId="14" priority="6" stopIfTrue="1">
      <formula>J8="A"</formula>
    </cfRule>
    <cfRule type="expression" dxfId="13" priority="7" stopIfTrue="1">
      <formula>J8="B"</formula>
    </cfRule>
    <cfRule type="expression" dxfId="12" priority="8" stopIfTrue="1">
      <formula>J8="C"</formula>
    </cfRule>
  </conditionalFormatting>
  <dataValidations count="3">
    <dataValidation type="list" allowBlank="1" showErrorMessage="1" errorTitle="Valor fora da lista" error="Escolha um item da lista." sqref="A4" xr:uid="{00000000-0002-0000-0100-000000000000}">
      <formula1>L_SETORES</formula1>
    </dataValidation>
    <dataValidation type="list" allowBlank="1" showErrorMessage="1" errorTitle="Valor fora da lista" error="Escolha um item da lista." sqref="B8:B27" xr:uid="{00000000-0002-0000-0100-000001000000}">
      <formula1>L_TAGS</formula1>
    </dataValidation>
    <dataValidation type="list" allowBlank="1" showErrorMessage="1" errorTitle="Valor fora da lista" error="Escolha um item da lista." sqref="I8:I27 E8:G27" xr:uid="{00000000-0002-0000-0100-000002000000}">
      <formula1>"1,2,3,4,5"</formula1>
    </dataValidation>
  </dataValidations>
  <printOptions horizontalCentered="1"/>
  <pageMargins left="0.4" right="0.4" top="0.45" bottom="0.6" header="0.2" footer="0.25"/>
  <pageSetup paperSize="9" orientation="landscape"/>
  <headerFooter>
    <oddFooter>&amp;L&amp;7 &amp;K4A5668PCM-MAN-002  ·  Manutenção planejada. Direto ao ponto.&amp;C&amp;7 &amp;K4A5668Página &amp;P de &amp;N&amp;R&amp;7 &amp;K4A5668PCM Direto  ·  Impresso em 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5AA6"/>
    <pageSetUpPr fitToPage="1"/>
  </sheetPr>
  <dimension ref="A1:V23"/>
  <sheetViews>
    <sheetView showGridLines="0" tabSelected="1" zoomScale="55" zoomScaleNormal="55" workbookViewId="0">
      <selection activeCell="P9" sqref="P9"/>
    </sheetView>
  </sheetViews>
  <sheetFormatPr defaultRowHeight="14.5"/>
  <cols>
    <col min="1" max="1" width="4" customWidth="1"/>
    <col min="2" max="2" width="11" customWidth="1"/>
    <col min="3" max="3" width="18" customWidth="1"/>
    <col min="4" max="4" width="6" customWidth="1"/>
    <col min="5" max="5" width="13" customWidth="1"/>
    <col min="6" max="8" width="15" customWidth="1"/>
    <col min="9" max="9" width="14" customWidth="1"/>
    <col min="10" max="12" width="10" customWidth="1"/>
    <col min="13" max="13" width="6" customWidth="1"/>
    <col min="14" max="14" width="22" customWidth="1"/>
    <col min="15" max="15" width="12" customWidth="1"/>
    <col min="16" max="16" width="7" customWidth="1"/>
    <col min="17" max="17" width="13" customWidth="1"/>
    <col min="18" max="18" width="2" customWidth="1"/>
    <col min="19" max="19" width="7" customWidth="1"/>
    <col min="20" max="22" width="25" customWidth="1"/>
  </cols>
  <sheetData>
    <row r="1" spans="1:22" ht="30.75" customHeight="1">
      <c r="A1" s="107"/>
      <c r="B1" s="108"/>
      <c r="C1" s="108"/>
      <c r="D1" s="108"/>
      <c r="E1" s="109"/>
      <c r="F1" s="146" t="s">
        <v>34</v>
      </c>
      <c r="G1" s="108"/>
      <c r="H1" s="108"/>
      <c r="I1" s="108"/>
      <c r="J1" s="108"/>
      <c r="K1" s="108"/>
      <c r="L1" s="108"/>
      <c r="M1" s="109"/>
      <c r="N1" s="145" t="str">
        <f>"Rev. "&amp;'Leia-me'!$D$15&amp;"   ·   "&amp;'Leia-me'!$D$16</f>
        <v>Rev. 00   ·   30/Out/2026</v>
      </c>
      <c r="O1" s="108"/>
      <c r="P1" s="108"/>
      <c r="Q1" s="109"/>
    </row>
    <row r="2" spans="1:22" ht="28" customHeight="1">
      <c r="A2" s="110"/>
      <c r="B2" s="111"/>
      <c r="C2" s="111"/>
      <c r="D2" s="111"/>
      <c r="E2" s="112"/>
      <c r="F2" s="128" t="s">
        <v>114</v>
      </c>
      <c r="G2" s="111"/>
      <c r="H2" s="111"/>
      <c r="I2" s="111"/>
      <c r="J2" s="111"/>
      <c r="K2" s="111"/>
      <c r="L2" s="111"/>
      <c r="M2" s="112"/>
      <c r="N2" s="128" t="str">
        <f>"Elaborado: "&amp;'Leia-me'!$D$13&amp;"   ·   Aprovado: "&amp;'Leia-me'!$D$14</f>
        <v xml:space="preserve">Elaborado:    ·   Aprovado: </v>
      </c>
      <c r="O2" s="111"/>
      <c r="P2" s="111"/>
      <c r="Q2" s="112"/>
    </row>
    <row r="3" spans="1:22" ht="12" customHeight="1">
      <c r="A3" s="155" t="s">
        <v>115</v>
      </c>
      <c r="B3" s="132"/>
      <c r="C3" s="132"/>
      <c r="D3" s="132"/>
      <c r="E3" s="132"/>
      <c r="F3" s="135" t="s">
        <v>54</v>
      </c>
      <c r="G3" s="132"/>
      <c r="H3" s="132"/>
      <c r="I3" s="132"/>
      <c r="J3" s="132"/>
      <c r="K3" s="135" t="s">
        <v>116</v>
      </c>
      <c r="L3" s="132"/>
      <c r="M3" s="132"/>
      <c r="N3" s="132"/>
      <c r="O3" s="138" t="s">
        <v>117</v>
      </c>
      <c r="P3" s="132"/>
      <c r="Q3" s="133"/>
      <c r="R3" s="12"/>
      <c r="S3" s="12"/>
      <c r="T3" s="12"/>
      <c r="U3" s="12"/>
      <c r="V3" s="12"/>
    </row>
    <row r="4" spans="1:22" ht="24" customHeight="1">
      <c r="A4" s="115"/>
      <c r="B4" s="116"/>
      <c r="C4" s="116"/>
      <c r="D4" s="116"/>
      <c r="E4" s="117"/>
      <c r="F4" s="115"/>
      <c r="G4" s="116"/>
      <c r="H4" s="116"/>
      <c r="I4" s="116"/>
      <c r="J4" s="117"/>
      <c r="K4" s="159" t="str">
        <f>IF(COUNT(M8:M22)=0,"",COUNTIF(M8:M22,"&gt;=200")+COUNTIFS(J8:J22,"&gt;=9",M8:M22,"&lt;200"))</f>
        <v/>
      </c>
      <c r="L4" s="116"/>
      <c r="M4" s="116"/>
      <c r="N4" s="117"/>
      <c r="O4" s="159" t="str">
        <f>IF(COUNT(M8:M22)=0,"",MAX(M8:M22))</f>
        <v/>
      </c>
      <c r="P4" s="116"/>
      <c r="Q4" s="117"/>
      <c r="R4" s="12"/>
      <c r="S4" s="12"/>
      <c r="T4" s="12"/>
      <c r="U4" s="12"/>
      <c r="V4" s="12"/>
    </row>
    <row r="5" spans="1:22" ht="8" customHeight="1">
      <c r="A5" s="12"/>
      <c r="B5" s="154"/>
      <c r="C5" s="8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20" customHeight="1">
      <c r="A6" s="142" t="s">
        <v>118</v>
      </c>
      <c r="B6" s="132"/>
      <c r="C6" s="132"/>
      <c r="D6" s="132"/>
      <c r="E6" s="132"/>
      <c r="F6" s="132"/>
      <c r="G6" s="132"/>
      <c r="H6" s="132"/>
      <c r="I6" s="132"/>
      <c r="J6" s="156" t="s">
        <v>119</v>
      </c>
      <c r="K6" s="132"/>
      <c r="L6" s="132"/>
      <c r="M6" s="132"/>
      <c r="N6" s="148" t="s">
        <v>120</v>
      </c>
      <c r="O6" s="132"/>
      <c r="P6" s="132"/>
      <c r="Q6" s="133"/>
      <c r="R6" s="12"/>
      <c r="S6" s="152" t="s">
        <v>227</v>
      </c>
      <c r="T6" s="153"/>
      <c r="U6" s="153"/>
      <c r="V6" s="153"/>
    </row>
    <row r="7" spans="1:22" ht="34" customHeight="1">
      <c r="A7" s="14" t="s">
        <v>61</v>
      </c>
      <c r="B7" s="15" t="s">
        <v>62</v>
      </c>
      <c r="C7" s="15" t="s">
        <v>63</v>
      </c>
      <c r="D7" s="15" t="s">
        <v>68</v>
      </c>
      <c r="E7" s="15" t="s">
        <v>121</v>
      </c>
      <c r="F7" s="15" t="s">
        <v>122</v>
      </c>
      <c r="G7" s="15" t="s">
        <v>123</v>
      </c>
      <c r="H7" s="15" t="s">
        <v>124</v>
      </c>
      <c r="I7" s="15" t="s">
        <v>125</v>
      </c>
      <c r="J7" s="15" t="s">
        <v>126</v>
      </c>
      <c r="K7" s="15" t="s">
        <v>127</v>
      </c>
      <c r="L7" s="15" t="s">
        <v>128</v>
      </c>
      <c r="M7" s="15" t="s">
        <v>129</v>
      </c>
      <c r="N7" s="15" t="s">
        <v>130</v>
      </c>
      <c r="O7" s="15" t="s">
        <v>131</v>
      </c>
      <c r="P7" s="15" t="s">
        <v>132</v>
      </c>
      <c r="Q7" s="16" t="s">
        <v>133</v>
      </c>
      <c r="R7" s="12"/>
      <c r="S7" s="15" t="s">
        <v>76</v>
      </c>
      <c r="T7" s="15" t="s">
        <v>134</v>
      </c>
      <c r="U7" s="15" t="s">
        <v>135</v>
      </c>
      <c r="V7" s="15" t="s">
        <v>136</v>
      </c>
    </row>
    <row r="8" spans="1:22" ht="32" customHeight="1">
      <c r="A8" s="18">
        <v>1</v>
      </c>
      <c r="B8" s="19"/>
      <c r="C8" s="20" t="str">
        <f>IF(B8="","",IFERROR(INDEX(tb_pcm_ativos[descricao_ativo],MATCH(B8,tb_pcm_ativos[tag],0)),"fora do cadastro"))</f>
        <v/>
      </c>
      <c r="D8" s="30" t="str">
        <f>IF(B8="","",IFERROR(INDEX(Criticidade!$J$8:$J$27,MATCH(B8,Criticidade!$B$8:$B$27,0)),"?"))</f>
        <v/>
      </c>
      <c r="E8" s="31"/>
      <c r="F8" s="31"/>
      <c r="G8" s="31"/>
      <c r="H8" s="31"/>
      <c r="I8" s="31"/>
      <c r="J8" s="21"/>
      <c r="K8" s="21"/>
      <c r="L8" s="21"/>
      <c r="M8" s="30" t="str">
        <f t="shared" ref="M8:M22" si="0">IF(COUNT(J8:L8)&lt;3,"",J8*K8*L8)</f>
        <v/>
      </c>
      <c r="N8" s="19"/>
      <c r="O8" s="31"/>
      <c r="P8" s="32"/>
      <c r="Q8" s="33"/>
      <c r="R8" s="12"/>
      <c r="S8" s="34">
        <v>10</v>
      </c>
      <c r="T8" s="35" t="s">
        <v>137</v>
      </c>
      <c r="U8" s="35" t="s">
        <v>138</v>
      </c>
      <c r="V8" s="35" t="s">
        <v>139</v>
      </c>
    </row>
    <row r="9" spans="1:22" ht="32" customHeight="1">
      <c r="A9" s="18">
        <v>2</v>
      </c>
      <c r="B9" s="19"/>
      <c r="C9" s="20" t="str">
        <f>IF(B9="","",IFERROR(INDEX(tb_pcm_ativos[descricao_ativo],MATCH(B9,tb_pcm_ativos[tag],0)),"fora do cadastro"))</f>
        <v/>
      </c>
      <c r="D9" s="30" t="str">
        <f>IF(B9="","",IFERROR(INDEX(Criticidade!$J$8:$J$27,MATCH(B9,Criticidade!$B$8:$B$27,0)),"?"))</f>
        <v/>
      </c>
      <c r="E9" s="31"/>
      <c r="F9" s="31"/>
      <c r="G9" s="31"/>
      <c r="H9" s="31"/>
      <c r="I9" s="31"/>
      <c r="J9" s="21"/>
      <c r="K9" s="21"/>
      <c r="L9" s="21"/>
      <c r="M9" s="30" t="str">
        <f t="shared" si="0"/>
        <v/>
      </c>
      <c r="N9" s="19"/>
      <c r="O9" s="31"/>
      <c r="P9" s="32"/>
      <c r="Q9" s="33"/>
      <c r="R9" s="12"/>
      <c r="S9" s="34">
        <v>9</v>
      </c>
      <c r="T9" s="35" t="s">
        <v>140</v>
      </c>
      <c r="U9" s="35" t="s">
        <v>141</v>
      </c>
      <c r="V9" s="35" t="s">
        <v>142</v>
      </c>
    </row>
    <row r="10" spans="1:22" ht="32" customHeight="1">
      <c r="A10" s="18">
        <v>3</v>
      </c>
      <c r="B10" s="19"/>
      <c r="C10" s="20" t="str">
        <f>IF(B10="","",IFERROR(INDEX(tb_pcm_ativos[descricao_ativo],MATCH(B10,tb_pcm_ativos[tag],0)),"fora do cadastro"))</f>
        <v/>
      </c>
      <c r="D10" s="30" t="str">
        <f>IF(B10="","",IFERROR(INDEX(Criticidade!$J$8:$J$27,MATCH(B10,Criticidade!$B$8:$B$27,0)),"?"))</f>
        <v/>
      </c>
      <c r="E10" s="31"/>
      <c r="F10" s="31"/>
      <c r="G10" s="31"/>
      <c r="H10" s="31"/>
      <c r="I10" s="31"/>
      <c r="J10" s="21"/>
      <c r="K10" s="21"/>
      <c r="L10" s="21"/>
      <c r="M10" s="30" t="str">
        <f t="shared" si="0"/>
        <v/>
      </c>
      <c r="N10" s="19"/>
      <c r="O10" s="31"/>
      <c r="P10" s="32"/>
      <c r="Q10" s="33"/>
      <c r="R10" s="12"/>
      <c r="S10" s="36">
        <v>8</v>
      </c>
      <c r="T10" s="35" t="s">
        <v>143</v>
      </c>
      <c r="U10" s="35" t="s">
        <v>144</v>
      </c>
      <c r="V10" s="35" t="s">
        <v>145</v>
      </c>
    </row>
    <row r="11" spans="1:22" ht="32" customHeight="1">
      <c r="A11" s="18">
        <v>4</v>
      </c>
      <c r="B11" s="19"/>
      <c r="C11" s="20" t="str">
        <f>IF(B11="","",IFERROR(INDEX(tb_pcm_ativos[descricao_ativo],MATCH(B11,tb_pcm_ativos[tag],0)),"fora do cadastro"))</f>
        <v/>
      </c>
      <c r="D11" s="30" t="str">
        <f>IF(B11="","",IFERROR(INDEX(Criticidade!$J$8:$J$27,MATCH(B11,Criticidade!$B$8:$B$27,0)),"?"))</f>
        <v/>
      </c>
      <c r="E11" s="31"/>
      <c r="F11" s="31"/>
      <c r="G11" s="31"/>
      <c r="H11" s="31"/>
      <c r="I11" s="31"/>
      <c r="J11" s="21"/>
      <c r="K11" s="21"/>
      <c r="L11" s="21"/>
      <c r="M11" s="30" t="str">
        <f t="shared" si="0"/>
        <v/>
      </c>
      <c r="N11" s="19"/>
      <c r="O11" s="31"/>
      <c r="P11" s="32"/>
      <c r="Q11" s="33"/>
      <c r="R11" s="12"/>
      <c r="S11" s="36">
        <v>7</v>
      </c>
      <c r="T11" s="35" t="s">
        <v>146</v>
      </c>
      <c r="U11" s="35" t="s">
        <v>147</v>
      </c>
      <c r="V11" s="35" t="s">
        <v>148</v>
      </c>
    </row>
    <row r="12" spans="1:22" ht="32" customHeight="1">
      <c r="A12" s="18">
        <v>5</v>
      </c>
      <c r="B12" s="19"/>
      <c r="C12" s="20" t="str">
        <f>IF(B12="","",IFERROR(INDEX(tb_pcm_ativos[descricao_ativo],MATCH(B12,tb_pcm_ativos[tag],0)),"fora do cadastro"))</f>
        <v/>
      </c>
      <c r="D12" s="30" t="str">
        <f>IF(B12="","",IFERROR(INDEX(Criticidade!$J$8:$J$27,MATCH(B12,Criticidade!$B$8:$B$27,0)),"?"))</f>
        <v/>
      </c>
      <c r="E12" s="31"/>
      <c r="F12" s="31"/>
      <c r="G12" s="31"/>
      <c r="H12" s="31"/>
      <c r="I12" s="31"/>
      <c r="J12" s="21"/>
      <c r="K12" s="21"/>
      <c r="L12" s="21"/>
      <c r="M12" s="30" t="str">
        <f t="shared" si="0"/>
        <v/>
      </c>
      <c r="N12" s="19"/>
      <c r="O12" s="31"/>
      <c r="P12" s="32"/>
      <c r="Q12" s="33"/>
      <c r="R12" s="12"/>
      <c r="S12" s="37">
        <v>6</v>
      </c>
      <c r="T12" s="35" t="s">
        <v>149</v>
      </c>
      <c r="U12" s="35" t="s">
        <v>150</v>
      </c>
      <c r="V12" s="35" t="s">
        <v>151</v>
      </c>
    </row>
    <row r="13" spans="1:22" ht="32" customHeight="1">
      <c r="A13" s="18">
        <v>6</v>
      </c>
      <c r="B13" s="19"/>
      <c r="C13" s="20" t="str">
        <f>IF(B13="","",IFERROR(INDEX(tb_pcm_ativos[descricao_ativo],MATCH(B13,tb_pcm_ativos[tag],0)),"fora do cadastro"))</f>
        <v/>
      </c>
      <c r="D13" s="30" t="str">
        <f>IF(B13="","",IFERROR(INDEX(Criticidade!$J$8:$J$27,MATCH(B13,Criticidade!$B$8:$B$27,0)),"?"))</f>
        <v/>
      </c>
      <c r="E13" s="31"/>
      <c r="F13" s="31"/>
      <c r="G13" s="31"/>
      <c r="H13" s="31"/>
      <c r="I13" s="31"/>
      <c r="J13" s="21"/>
      <c r="K13" s="21"/>
      <c r="L13" s="21"/>
      <c r="M13" s="30" t="str">
        <f t="shared" si="0"/>
        <v/>
      </c>
      <c r="N13" s="19"/>
      <c r="O13" s="31"/>
      <c r="P13" s="32"/>
      <c r="Q13" s="33"/>
      <c r="R13" s="12"/>
      <c r="S13" s="37">
        <v>5</v>
      </c>
      <c r="T13" s="35" t="s">
        <v>152</v>
      </c>
      <c r="U13" s="35" t="s">
        <v>153</v>
      </c>
      <c r="V13" s="35" t="s">
        <v>154</v>
      </c>
    </row>
    <row r="14" spans="1:22" ht="32" customHeight="1">
      <c r="A14" s="18">
        <v>7</v>
      </c>
      <c r="B14" s="19"/>
      <c r="C14" s="20" t="str">
        <f>IF(B14="","",IFERROR(INDEX(tb_pcm_ativos[descricao_ativo],MATCH(B14,tb_pcm_ativos[tag],0)),"fora do cadastro"))</f>
        <v/>
      </c>
      <c r="D14" s="30" t="str">
        <f>IF(B14="","",IFERROR(INDEX(Criticidade!$J$8:$J$27,MATCH(B14,Criticidade!$B$8:$B$27,0)),"?"))</f>
        <v/>
      </c>
      <c r="E14" s="31"/>
      <c r="F14" s="31"/>
      <c r="G14" s="31"/>
      <c r="H14" s="31"/>
      <c r="I14" s="31"/>
      <c r="J14" s="21"/>
      <c r="K14" s="21"/>
      <c r="L14" s="21"/>
      <c r="M14" s="30" t="str">
        <f t="shared" si="0"/>
        <v/>
      </c>
      <c r="N14" s="19"/>
      <c r="O14" s="31"/>
      <c r="P14" s="32"/>
      <c r="Q14" s="33"/>
      <c r="R14" s="12"/>
      <c r="S14" s="38">
        <v>4</v>
      </c>
      <c r="T14" s="35" t="s">
        <v>155</v>
      </c>
      <c r="U14" s="35" t="s">
        <v>156</v>
      </c>
      <c r="V14" s="35" t="s">
        <v>157</v>
      </c>
    </row>
    <row r="15" spans="1:22" ht="32" customHeight="1">
      <c r="A15" s="18">
        <v>8</v>
      </c>
      <c r="B15" s="19"/>
      <c r="C15" s="20" t="str">
        <f>IF(B15="","",IFERROR(INDEX(tb_pcm_ativos[descricao_ativo],MATCH(B15,tb_pcm_ativos[tag],0)),"fora do cadastro"))</f>
        <v/>
      </c>
      <c r="D15" s="30" t="str">
        <f>IF(B15="","",IFERROR(INDEX(Criticidade!$J$8:$J$27,MATCH(B15,Criticidade!$B$8:$B$27,0)),"?"))</f>
        <v/>
      </c>
      <c r="E15" s="31"/>
      <c r="F15" s="31"/>
      <c r="G15" s="31"/>
      <c r="H15" s="31"/>
      <c r="I15" s="31"/>
      <c r="J15" s="21"/>
      <c r="K15" s="21"/>
      <c r="L15" s="21"/>
      <c r="M15" s="30" t="str">
        <f>IF(COUNT(J15:L15)&lt;3,"",J15*K15*L15)</f>
        <v/>
      </c>
      <c r="N15" s="19"/>
      <c r="O15" s="31"/>
      <c r="P15" s="32"/>
      <c r="Q15" s="33"/>
      <c r="R15" s="12"/>
      <c r="S15" s="38">
        <v>3</v>
      </c>
      <c r="T15" s="35" t="s">
        <v>158</v>
      </c>
      <c r="U15" s="35" t="s">
        <v>159</v>
      </c>
      <c r="V15" s="35" t="s">
        <v>160</v>
      </c>
    </row>
    <row r="16" spans="1:22" ht="32" customHeight="1">
      <c r="A16" s="18">
        <v>9</v>
      </c>
      <c r="B16" s="19"/>
      <c r="C16" s="20" t="str">
        <f>IF(B16="","",IFERROR(INDEX(tb_pcm_ativos[descricao_ativo],MATCH(B16,tb_pcm_ativos[tag],0)),"fora do cadastro"))</f>
        <v/>
      </c>
      <c r="D16" s="30" t="str">
        <f>IF(B16="","",IFERROR(INDEX(Criticidade!$J$8:$J$27,MATCH(B16,Criticidade!$B$8:$B$27,0)),"?"))</f>
        <v/>
      </c>
      <c r="E16" s="31"/>
      <c r="F16" s="31"/>
      <c r="G16" s="31"/>
      <c r="H16" s="31"/>
      <c r="I16" s="31"/>
      <c r="J16" s="21"/>
      <c r="K16" s="21"/>
      <c r="L16" s="21"/>
      <c r="M16" s="30" t="str">
        <f t="shared" si="0"/>
        <v/>
      </c>
      <c r="N16" s="19"/>
      <c r="O16" s="31"/>
      <c r="P16" s="32"/>
      <c r="Q16" s="33"/>
      <c r="R16" s="12"/>
      <c r="S16" s="39">
        <v>2</v>
      </c>
      <c r="T16" s="35" t="s">
        <v>161</v>
      </c>
      <c r="U16" s="35" t="s">
        <v>162</v>
      </c>
      <c r="V16" s="35" t="s">
        <v>163</v>
      </c>
    </row>
    <row r="17" spans="1:22" ht="32" customHeight="1">
      <c r="A17" s="18">
        <v>10</v>
      </c>
      <c r="B17" s="19"/>
      <c r="C17" s="20" t="str">
        <f>IF(B17="","",IFERROR(INDEX(tb_pcm_ativos[descricao_ativo],MATCH(B17,tb_pcm_ativos[tag],0)),"fora do cadastro"))</f>
        <v/>
      </c>
      <c r="D17" s="30" t="str">
        <f>IF(B17="","",IFERROR(INDEX(Criticidade!$J$8:$J$27,MATCH(B17,Criticidade!$B$8:$B$27,0)),"?"))</f>
        <v/>
      </c>
      <c r="E17" s="31"/>
      <c r="F17" s="31"/>
      <c r="G17" s="31"/>
      <c r="H17" s="31"/>
      <c r="I17" s="31"/>
      <c r="J17" s="21"/>
      <c r="K17" s="21"/>
      <c r="L17" s="21"/>
      <c r="M17" s="30" t="str">
        <f t="shared" si="0"/>
        <v/>
      </c>
      <c r="N17" s="19"/>
      <c r="O17" s="31"/>
      <c r="P17" s="32"/>
      <c r="Q17" s="33"/>
      <c r="R17" s="12"/>
      <c r="S17" s="39">
        <v>1</v>
      </c>
      <c r="T17" s="35" t="s">
        <v>164</v>
      </c>
      <c r="U17" s="35" t="s">
        <v>165</v>
      </c>
      <c r="V17" s="35" t="s">
        <v>166</v>
      </c>
    </row>
    <row r="18" spans="1:22" ht="32" customHeight="1">
      <c r="A18" s="18">
        <v>11</v>
      </c>
      <c r="B18" s="19"/>
      <c r="C18" s="20" t="str">
        <f>IF(B18="","",IFERROR(INDEX(tb_pcm_ativos[descricao_ativo],MATCH(B18,tb_pcm_ativos[tag],0)),"fora do cadastro"))</f>
        <v/>
      </c>
      <c r="D18" s="30" t="str">
        <f>IF(B18="","",IFERROR(INDEX(Criticidade!$J$8:$J$27,MATCH(B18,Criticidade!$B$8:$B$27,0)),"?"))</f>
        <v/>
      </c>
      <c r="E18" s="31"/>
      <c r="F18" s="31"/>
      <c r="G18" s="31"/>
      <c r="H18" s="31"/>
      <c r="I18" s="31"/>
      <c r="J18" s="21"/>
      <c r="K18" s="21"/>
      <c r="L18" s="21"/>
      <c r="M18" s="30" t="str">
        <f t="shared" si="0"/>
        <v/>
      </c>
      <c r="N18" s="19"/>
      <c r="O18" s="31"/>
      <c r="P18" s="32"/>
      <c r="Q18" s="33"/>
      <c r="R18" s="12"/>
      <c r="S18" s="125" t="s">
        <v>167</v>
      </c>
      <c r="T18" s="88"/>
      <c r="U18" s="88"/>
      <c r="V18" s="114"/>
    </row>
    <row r="19" spans="1:22" ht="32" customHeight="1">
      <c r="A19" s="18">
        <v>12</v>
      </c>
      <c r="B19" s="19"/>
      <c r="C19" s="20" t="str">
        <f>IF(B19="","",IFERROR(INDEX(tb_pcm_ativos[descricao_ativo],MATCH(B19,tb_pcm_ativos[tag],0)),"fora do cadastro"))</f>
        <v/>
      </c>
      <c r="D19" s="30" t="str">
        <f>IF(B19="","",IFERROR(INDEX(Criticidade!$J$8:$J$27,MATCH(B19,Criticidade!$B$8:$B$27,0)),"?"))</f>
        <v/>
      </c>
      <c r="E19" s="31"/>
      <c r="F19" s="31"/>
      <c r="G19" s="31"/>
      <c r="H19" s="31"/>
      <c r="I19" s="31"/>
      <c r="J19" s="21"/>
      <c r="K19" s="21"/>
      <c r="L19" s="21"/>
      <c r="M19" s="30" t="str">
        <f t="shared" si="0"/>
        <v/>
      </c>
      <c r="N19" s="19"/>
      <c r="O19" s="31"/>
      <c r="P19" s="32"/>
      <c r="Q19" s="33"/>
      <c r="R19" s="12"/>
      <c r="S19" s="126"/>
      <c r="T19" s="88"/>
      <c r="U19" s="88"/>
      <c r="V19" s="114"/>
    </row>
    <row r="20" spans="1:22" ht="32" customHeight="1">
      <c r="A20" s="18">
        <v>13</v>
      </c>
      <c r="B20" s="19"/>
      <c r="C20" s="20" t="str">
        <f>IF(B20="","",IFERROR(INDEX(tb_pcm_ativos[descricao_ativo],MATCH(B20,tb_pcm_ativos[tag],0)),"fora do cadastro"))</f>
        <v/>
      </c>
      <c r="D20" s="30" t="str">
        <f>IF(B20="","",IFERROR(INDEX(Criticidade!$J$8:$J$27,MATCH(B20,Criticidade!$B$8:$B$27,0)),"?"))</f>
        <v/>
      </c>
      <c r="E20" s="31"/>
      <c r="F20" s="31"/>
      <c r="G20" s="31"/>
      <c r="H20" s="31"/>
      <c r="I20" s="31"/>
      <c r="J20" s="21"/>
      <c r="K20" s="21"/>
      <c r="L20" s="21"/>
      <c r="M20" s="30" t="str">
        <f t="shared" si="0"/>
        <v/>
      </c>
      <c r="N20" s="19"/>
      <c r="O20" s="31"/>
      <c r="P20" s="32"/>
      <c r="Q20" s="33"/>
      <c r="R20" s="12"/>
      <c r="S20" s="127"/>
      <c r="T20" s="121"/>
      <c r="U20" s="121"/>
      <c r="V20" s="122"/>
    </row>
    <row r="21" spans="1:22" ht="32" customHeight="1">
      <c r="A21" s="18">
        <v>14</v>
      </c>
      <c r="B21" s="19"/>
      <c r="C21" s="20" t="str">
        <f>IF(B21="","",IFERROR(INDEX(tb_pcm_ativos[descricao_ativo],MATCH(B21,tb_pcm_ativos[tag],0)),"fora do cadastro"))</f>
        <v/>
      </c>
      <c r="D21" s="30" t="str">
        <f>IF(B21="","",IFERROR(INDEX(Criticidade!$J$8:$J$27,MATCH(B21,Criticidade!$B$8:$B$27,0)),"?"))</f>
        <v/>
      </c>
      <c r="E21" s="31"/>
      <c r="F21" s="31"/>
      <c r="G21" s="31"/>
      <c r="H21" s="31"/>
      <c r="I21" s="31"/>
      <c r="J21" s="21"/>
      <c r="K21" s="21"/>
      <c r="L21" s="21"/>
      <c r="M21" s="30" t="str">
        <f t="shared" si="0"/>
        <v/>
      </c>
      <c r="N21" s="19"/>
      <c r="O21" s="31"/>
      <c r="P21" s="32"/>
      <c r="Q21" s="33"/>
      <c r="R21" s="12"/>
      <c r="S21" s="12"/>
      <c r="T21" s="12"/>
      <c r="U21" s="12"/>
      <c r="V21" s="12"/>
    </row>
    <row r="22" spans="1:22" ht="32" customHeight="1">
      <c r="A22" s="18">
        <v>15</v>
      </c>
      <c r="B22" s="19"/>
      <c r="C22" s="20" t="str">
        <f>IF(B22="","",IFERROR(INDEX(tb_pcm_ativos[descricao_ativo],MATCH(B22,tb_pcm_ativos[tag],0)),"fora do cadastro"))</f>
        <v/>
      </c>
      <c r="D22" s="30" t="str">
        <f>IF(B22="","",IFERROR(INDEX(Criticidade!$J$8:$J$27,MATCH(B22,Criticidade!$B$8:$B$27,0)),"?"))</f>
        <v/>
      </c>
      <c r="E22" s="31"/>
      <c r="F22" s="31"/>
      <c r="G22" s="31"/>
      <c r="H22" s="31"/>
      <c r="I22" s="31"/>
      <c r="J22" s="21"/>
      <c r="K22" s="21"/>
      <c r="L22" s="21"/>
      <c r="M22" s="30" t="str">
        <f t="shared" si="0"/>
        <v/>
      </c>
      <c r="N22" s="19"/>
      <c r="O22" s="31"/>
      <c r="P22" s="32"/>
      <c r="Q22" s="33"/>
      <c r="R22" s="12"/>
      <c r="S22" s="12"/>
      <c r="T22" s="12"/>
      <c r="U22" s="12"/>
      <c r="V22" s="12"/>
    </row>
    <row r="23" spans="1:22" ht="20" customHeight="1">
      <c r="A23" s="143" t="s">
        <v>168</v>
      </c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</row>
  </sheetData>
  <mergeCells count="20">
    <mergeCell ref="A23:Q23"/>
    <mergeCell ref="K4:N4"/>
    <mergeCell ref="F3:J3"/>
    <mergeCell ref="A4:E4"/>
    <mergeCell ref="K3:N3"/>
    <mergeCell ref="B5:C5"/>
    <mergeCell ref="A6:I6"/>
    <mergeCell ref="F4:J4"/>
    <mergeCell ref="A3:E3"/>
    <mergeCell ref="F2:M2"/>
    <mergeCell ref="S18:V20"/>
    <mergeCell ref="O4:Q4"/>
    <mergeCell ref="J6:M6"/>
    <mergeCell ref="A1:E2"/>
    <mergeCell ref="N6:Q6"/>
    <mergeCell ref="N2:Q2"/>
    <mergeCell ref="O3:Q3"/>
    <mergeCell ref="N1:Q1"/>
    <mergeCell ref="S6:V6"/>
    <mergeCell ref="F1:M1"/>
  </mergeCells>
  <conditionalFormatting sqref="D8:D22">
    <cfRule type="expression" dxfId="11" priority="8" stopIfTrue="1">
      <formula>D8="A"</formula>
    </cfRule>
    <cfRule type="expression" dxfId="10" priority="9" stopIfTrue="1">
      <formula>D8="B"</formula>
    </cfRule>
    <cfRule type="expression" dxfId="9" priority="10" stopIfTrue="1">
      <formula>D8="C"</formula>
    </cfRule>
  </conditionalFormatting>
  <conditionalFormatting sqref="K4">
    <cfRule type="expression" dxfId="8" priority="4" stopIfTrue="1">
      <formula>AND(ISNUMBER($K$4),$K$4&gt;0)</formula>
    </cfRule>
  </conditionalFormatting>
  <conditionalFormatting sqref="M8:M22">
    <cfRule type="expression" dxfId="7" priority="5" stopIfTrue="1">
      <formula>AND(ISNUMBER(M8),OR(M8&gt;=200,J8&gt;=9))</formula>
    </cfRule>
    <cfRule type="expression" dxfId="6" priority="6" stopIfTrue="1">
      <formula>AND(ISNUMBER(M8),M8&gt;=100)</formula>
    </cfRule>
    <cfRule type="expression" dxfId="5" priority="7" stopIfTrue="1">
      <formula>ISNUMBER(M8)</formula>
    </cfRule>
  </conditionalFormatting>
  <conditionalFormatting sqref="O4">
    <cfRule type="expression" dxfId="4" priority="1" stopIfTrue="1">
      <formula>AND(ISNUMBER($O$4),$O$4&gt;=200)</formula>
    </cfRule>
    <cfRule type="expression" dxfId="3" priority="2" stopIfTrue="1">
      <formula>AND(ISNUMBER($O$4),$O$4&gt;=100)</formula>
    </cfRule>
    <cfRule type="expression" dxfId="2" priority="3" stopIfTrue="1">
      <formula>ISNUMBER($O$4)</formula>
    </cfRule>
  </conditionalFormatting>
  <dataValidations count="6">
    <dataValidation type="list" allowBlank="1" showErrorMessage="1" errorTitle="Valor fora da lista" error="Escolha um item da lista." sqref="A4" xr:uid="{00000000-0002-0000-0200-000000000000}">
      <formula1>L_SETORES</formula1>
    </dataValidation>
    <dataValidation type="list" allowBlank="1" showErrorMessage="1" errorTitle="Valor fora da lista" error="Escolha um item da lista." sqref="B8:B22" xr:uid="{00000000-0002-0000-0200-000001000000}">
      <formula1>L_TAGS</formula1>
    </dataValidation>
    <dataValidation type="list" allowBlank="1" showErrorMessage="1" errorTitle="Valor fora da lista" error="Escolha um item da lista." sqref="J8:L22" xr:uid="{00000000-0002-0000-0200-000002000000}">
      <formula1>"1,2,3,4,5,6,7,8,9,10"</formula1>
    </dataValidation>
    <dataValidation type="list" allowBlank="1" showErrorMessage="1" errorTitle="Valor fora da lista" error="Escolha um item da lista." sqref="O8:O22" xr:uid="{00000000-0002-0000-0200-000005000000}">
      <formula1>"Inspeção,Preventiva,Preditiva,Lubrificação,Troca programada,Operar até falhar"</formula1>
    </dataValidation>
    <dataValidation type="whole" allowBlank="1" showErrorMessage="1" errorTitle="Número inválido" error="Digite um número inteiro de 1 a 3650." sqref="P8:P22" xr:uid="{00000000-0002-0000-0200-000006000000}">
      <formula1>1</formula1>
      <formula2>3650</formula2>
    </dataValidation>
    <dataValidation type="list" allowBlank="1" showErrorMessage="1" errorTitle="Valor fora da lista" error="Escolha um item da lista." sqref="Q8:Q22" xr:uid="{00000000-0002-0000-0200-000007000000}">
      <formula1>L_PESSOAS</formula1>
    </dataValidation>
  </dataValidations>
  <printOptions horizontalCentered="1"/>
  <pageMargins left="0.4" right="0.4" top="0.45" bottom="0.6" header="0.2" footer="0.25"/>
  <pageSetup paperSize="9" orientation="landscape"/>
  <headerFooter>
    <oddFooter>&amp;L&amp;7 &amp;K4A5668PCM-MAN-002  ·  Manutenção planejada. Direto ao ponto.&amp;C&amp;7 &amp;K4A5668Página &amp;P de &amp;N&amp;R&amp;7 &amp;K4A5668PCM Direto  ·  Impresso em &amp;D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5AA6"/>
    <pageSetUpPr fitToPage="1"/>
  </sheetPr>
  <dimension ref="A1:L31"/>
  <sheetViews>
    <sheetView showGridLines="0" topLeftCell="A16" zoomScale="85" zoomScaleNormal="85" workbookViewId="0">
      <selection activeCell="D32" sqref="D32"/>
    </sheetView>
  </sheetViews>
  <sheetFormatPr defaultRowHeight="14.5"/>
  <cols>
    <col min="1" max="1" width="4" customWidth="1"/>
    <col min="2" max="2" width="11" customWidth="1"/>
    <col min="3" max="3" width="18" customWidth="1"/>
    <col min="4" max="4" width="14" customWidth="1"/>
    <col min="5" max="5" width="34" customWidth="1"/>
    <col min="6" max="6" width="14" customWidth="1"/>
    <col min="7" max="7" width="7" customWidth="1"/>
    <col min="8" max="8" width="14" customWidth="1"/>
    <col min="9" max="10" width="8" customWidth="1"/>
    <col min="11" max="12" width="11" customWidth="1"/>
  </cols>
  <sheetData>
    <row r="1" spans="1:12" ht="30.75" customHeight="1">
      <c r="A1" s="107"/>
      <c r="B1" s="108"/>
      <c r="C1" s="108"/>
      <c r="D1" s="109"/>
      <c r="E1" s="146" t="s">
        <v>36</v>
      </c>
      <c r="F1" s="108"/>
      <c r="G1" s="108"/>
      <c r="H1" s="109"/>
      <c r="I1" s="145" t="str">
        <f>"Rev. "&amp;'Leia-me'!$D$15&amp;"   ·   "&amp;'Leia-me'!$D$16</f>
        <v>Rev. 00   ·   30/Out/2026</v>
      </c>
      <c r="J1" s="108"/>
      <c r="K1" s="108"/>
      <c r="L1" s="109"/>
    </row>
    <row r="2" spans="1:12" ht="31" customHeight="1">
      <c r="A2" s="110"/>
      <c r="B2" s="111"/>
      <c r="C2" s="111"/>
      <c r="D2" s="112"/>
      <c r="E2" s="128" t="s">
        <v>169</v>
      </c>
      <c r="F2" s="111"/>
      <c r="G2" s="111"/>
      <c r="H2" s="112"/>
      <c r="I2" s="128" t="str">
        <f>"Elaborado: "&amp;'Leia-me'!$D$13&amp;"   ·   Aprovado: "&amp;'Leia-me'!$D$14</f>
        <v xml:space="preserve">Elaborado:    ·   Aprovado: </v>
      </c>
      <c r="J2" s="111"/>
      <c r="K2" s="111"/>
      <c r="L2" s="112"/>
    </row>
    <row r="3" spans="1:12" ht="20" customHeight="1">
      <c r="A3" s="142" t="s">
        <v>170</v>
      </c>
      <c r="B3" s="132"/>
      <c r="C3" s="132"/>
      <c r="D3" s="132"/>
      <c r="E3" s="132"/>
      <c r="F3" s="132"/>
      <c r="G3" s="132"/>
      <c r="H3" s="132"/>
      <c r="I3" s="148" t="s">
        <v>171</v>
      </c>
      <c r="J3" s="132"/>
      <c r="K3" s="132"/>
      <c r="L3" s="133"/>
    </row>
    <row r="4" spans="1:12" ht="30" customHeight="1">
      <c r="A4" s="14" t="s">
        <v>61</v>
      </c>
      <c r="B4" s="15" t="s">
        <v>62</v>
      </c>
      <c r="C4" s="15" t="s">
        <v>63</v>
      </c>
      <c r="D4" s="15" t="s">
        <v>121</v>
      </c>
      <c r="E4" s="15" t="s">
        <v>172</v>
      </c>
      <c r="F4" s="15" t="s">
        <v>173</v>
      </c>
      <c r="G4" s="15" t="s">
        <v>132</v>
      </c>
      <c r="H4" s="15" t="s">
        <v>133</v>
      </c>
      <c r="I4" s="15" t="s">
        <v>174</v>
      </c>
      <c r="J4" s="15" t="s">
        <v>175</v>
      </c>
      <c r="K4" s="15" t="s">
        <v>176</v>
      </c>
      <c r="L4" s="16" t="s">
        <v>177</v>
      </c>
    </row>
    <row r="5" spans="1:12" ht="22" customHeight="1">
      <c r="A5" s="40">
        <v>1</v>
      </c>
      <c r="B5" s="41" t="str">
        <f>IF(FMECA!$N$8="","",IF(FMECA!B8="","",FMECA!B8))</f>
        <v/>
      </c>
      <c r="C5" s="20" t="str">
        <f>IF(B5="","",IFERROR(INDEX(tb_pcm_ativos[descricao_ativo],MATCH(B5,tb_pcm_ativos[tag],0)),"fora do cadastro"))</f>
        <v/>
      </c>
      <c r="D5" s="42" t="str">
        <f>IF(FMECA!$N$8="","",IF(FMECA!E8="","",FMECA!E8))</f>
        <v/>
      </c>
      <c r="E5" s="42" t="str">
        <f>IF(FMECA!$N$8="","",IF(FMECA!N8="","",FMECA!N8))</f>
        <v/>
      </c>
      <c r="F5" s="42" t="str">
        <f>IF(FMECA!$N$8="","",IF(FMECA!O8="","",FMECA!O8))</f>
        <v/>
      </c>
      <c r="G5" s="43" t="str">
        <f>IF(FMECA!$N$8="","",IF(FMECA!P8="","",FMECA!P8))</f>
        <v/>
      </c>
      <c r="H5" s="42" t="str">
        <f>IF(FMECA!$N$8="","",IF(FMECA!Q8="","",FMECA!Q8))</f>
        <v/>
      </c>
      <c r="I5" s="44"/>
      <c r="J5" s="32"/>
      <c r="K5" s="45"/>
      <c r="L5" s="46" t="str">
        <f t="shared" ref="L5:L19" ca="1" si="0">IF(OR(K5="",G5="",G5=0),"",IF(K5&gt;=TODAY(),K5,K5+G5*ROUNDUP((TODAY()-K5)/G5,0)))</f>
        <v/>
      </c>
    </row>
    <row r="6" spans="1:12" ht="22" customHeight="1">
      <c r="A6" s="40">
        <v>2</v>
      </c>
      <c r="B6" s="41" t="str">
        <f>IF(FMECA!$N$9="","",IF(FMECA!B9="","",FMECA!B9))</f>
        <v/>
      </c>
      <c r="C6" s="20" t="str">
        <f>IF(B6="","",IFERROR(INDEX(tb_pcm_ativos[descricao_ativo],MATCH(B6,tb_pcm_ativos[tag],0)),"fora do cadastro"))</f>
        <v/>
      </c>
      <c r="D6" s="42" t="str">
        <f>IF(FMECA!$N$9="","",IF(FMECA!E9="","",FMECA!E9))</f>
        <v/>
      </c>
      <c r="E6" s="42" t="str">
        <f>IF(FMECA!$N$9="","",IF(FMECA!N9="","",FMECA!N9))</f>
        <v/>
      </c>
      <c r="F6" s="42" t="str">
        <f>IF(FMECA!$N$9="","",IF(FMECA!O9="","",FMECA!O9))</f>
        <v/>
      </c>
      <c r="G6" s="43" t="str">
        <f>IF(FMECA!$N$9="","",IF(FMECA!P9="","",FMECA!P9))</f>
        <v/>
      </c>
      <c r="H6" s="42" t="str">
        <f>IF(FMECA!$N$9="","",IF(FMECA!Q9="","",FMECA!Q9))</f>
        <v/>
      </c>
      <c r="I6" s="44"/>
      <c r="J6" s="32"/>
      <c r="K6" s="45"/>
      <c r="L6" s="46" t="str">
        <f t="shared" ca="1" si="0"/>
        <v/>
      </c>
    </row>
    <row r="7" spans="1:12" ht="22" customHeight="1">
      <c r="A7" s="40">
        <v>3</v>
      </c>
      <c r="B7" s="41" t="str">
        <f>IF(FMECA!$N$10="","",IF(FMECA!B10="","",FMECA!B10))</f>
        <v/>
      </c>
      <c r="C7" s="20" t="str">
        <f>IF(B7="","",IFERROR(INDEX(tb_pcm_ativos[descricao_ativo],MATCH(B7,tb_pcm_ativos[tag],0)),"fora do cadastro"))</f>
        <v/>
      </c>
      <c r="D7" s="42" t="str">
        <f>IF(FMECA!$N$10="","",IF(FMECA!E10="","",FMECA!E10))</f>
        <v/>
      </c>
      <c r="E7" s="42" t="str">
        <f>IF(FMECA!$N$10="","",IF(FMECA!N10="","",FMECA!N10))</f>
        <v/>
      </c>
      <c r="F7" s="42" t="str">
        <f>IF(FMECA!$N$10="","",IF(FMECA!O10="","",FMECA!O10))</f>
        <v/>
      </c>
      <c r="G7" s="43" t="str">
        <f>IF(FMECA!$N$10="","",IF(FMECA!P10="","",FMECA!P10))</f>
        <v/>
      </c>
      <c r="H7" s="42" t="str">
        <f>IF(FMECA!$N$10="","",IF(FMECA!Q10="","",FMECA!Q10))</f>
        <v/>
      </c>
      <c r="I7" s="44"/>
      <c r="J7" s="32"/>
      <c r="K7" s="45"/>
      <c r="L7" s="46" t="str">
        <f t="shared" ca="1" si="0"/>
        <v/>
      </c>
    </row>
    <row r="8" spans="1:12" ht="22" customHeight="1">
      <c r="A8" s="40">
        <v>4</v>
      </c>
      <c r="B8" s="41" t="str">
        <f>IF(FMECA!$N$11="","",IF(FMECA!B11="","",FMECA!B11))</f>
        <v/>
      </c>
      <c r="C8" s="20" t="str">
        <f>IF(B8="","",IFERROR(INDEX(tb_pcm_ativos[descricao_ativo],MATCH(B8,tb_pcm_ativos[tag],0)),"fora do cadastro"))</f>
        <v/>
      </c>
      <c r="D8" s="42" t="str">
        <f>IF(FMECA!$N$11="","",IF(FMECA!E11="","",FMECA!E11))</f>
        <v/>
      </c>
      <c r="E8" s="42" t="str">
        <f>IF(FMECA!$N$11="","",IF(FMECA!N11="","",FMECA!N11))</f>
        <v/>
      </c>
      <c r="F8" s="42" t="str">
        <f>IF(FMECA!$N$11="","",IF(FMECA!O11="","",FMECA!O11))</f>
        <v/>
      </c>
      <c r="G8" s="43" t="str">
        <f>IF(FMECA!$N$11="","",IF(FMECA!P11="","",FMECA!P11))</f>
        <v/>
      </c>
      <c r="H8" s="42" t="str">
        <f>IF(FMECA!$N$11="","",IF(FMECA!Q11="","",FMECA!Q11))</f>
        <v/>
      </c>
      <c r="I8" s="44"/>
      <c r="J8" s="32"/>
      <c r="K8" s="45"/>
      <c r="L8" s="46" t="str">
        <f t="shared" ca="1" si="0"/>
        <v/>
      </c>
    </row>
    <row r="9" spans="1:12" ht="22" customHeight="1">
      <c r="A9" s="40">
        <v>5</v>
      </c>
      <c r="B9" s="41" t="str">
        <f>IF(FMECA!$N$12="","",IF(FMECA!B12="","",FMECA!B12))</f>
        <v/>
      </c>
      <c r="C9" s="20" t="str">
        <f>IF(B9="","",IFERROR(INDEX(tb_pcm_ativos[descricao_ativo],MATCH(B9,tb_pcm_ativos[tag],0)),"fora do cadastro"))</f>
        <v/>
      </c>
      <c r="D9" s="42" t="str">
        <f>IF(FMECA!$N$12="","",IF(FMECA!E12="","",FMECA!E12))</f>
        <v/>
      </c>
      <c r="E9" s="42" t="str">
        <f>IF(FMECA!$N$12="","",IF(FMECA!N12="","",FMECA!N12))</f>
        <v/>
      </c>
      <c r="F9" s="42" t="str">
        <f>IF(FMECA!$N$12="","",IF(FMECA!O12="","",FMECA!O12))</f>
        <v/>
      </c>
      <c r="G9" s="43" t="str">
        <f>IF(FMECA!$N$12="","",IF(FMECA!P12="","",FMECA!P12))</f>
        <v/>
      </c>
      <c r="H9" s="42" t="str">
        <f>IF(FMECA!$N$12="","",IF(FMECA!Q12="","",FMECA!Q12))</f>
        <v/>
      </c>
      <c r="I9" s="44"/>
      <c r="J9" s="32"/>
      <c r="K9" s="45"/>
      <c r="L9" s="46" t="str">
        <f t="shared" ca="1" si="0"/>
        <v/>
      </c>
    </row>
    <row r="10" spans="1:12" ht="22" customHeight="1">
      <c r="A10" s="40">
        <v>6</v>
      </c>
      <c r="B10" s="41" t="str">
        <f>IF(FMECA!$N$13="","",IF(FMECA!B13="","",FMECA!B13))</f>
        <v/>
      </c>
      <c r="C10" s="20" t="str">
        <f>IF(B10="","",IFERROR(INDEX(tb_pcm_ativos[descricao_ativo],MATCH(B10,tb_pcm_ativos[tag],0)),"fora do cadastro"))</f>
        <v/>
      </c>
      <c r="D10" s="42" t="str">
        <f>IF(FMECA!$N$13="","",IF(FMECA!E13="","",FMECA!E13))</f>
        <v/>
      </c>
      <c r="E10" s="42" t="str">
        <f>IF(FMECA!$N$13="","",IF(FMECA!N13="","",FMECA!N13))</f>
        <v/>
      </c>
      <c r="F10" s="42" t="str">
        <f>IF(FMECA!$N$13="","",IF(FMECA!O13="","",FMECA!O13))</f>
        <v/>
      </c>
      <c r="G10" s="43" t="str">
        <f>IF(FMECA!$N$13="","",IF(FMECA!P13="","",FMECA!P13))</f>
        <v/>
      </c>
      <c r="H10" s="42" t="str">
        <f>IF(FMECA!$N$13="","",IF(FMECA!Q13="","",FMECA!Q13))</f>
        <v/>
      </c>
      <c r="I10" s="44"/>
      <c r="J10" s="32"/>
      <c r="K10" s="45"/>
      <c r="L10" s="46" t="str">
        <f t="shared" ca="1" si="0"/>
        <v/>
      </c>
    </row>
    <row r="11" spans="1:12" ht="22" customHeight="1">
      <c r="A11" s="40">
        <v>7</v>
      </c>
      <c r="B11" s="41" t="str">
        <f>IF(FMECA!$N$14="","",IF(FMECA!B14="","",FMECA!B14))</f>
        <v/>
      </c>
      <c r="C11" s="20" t="str">
        <f>IF(B11="","",IFERROR(INDEX(tb_pcm_ativos[descricao_ativo],MATCH(B11,tb_pcm_ativos[tag],0)),"fora do cadastro"))</f>
        <v/>
      </c>
      <c r="D11" s="42" t="str">
        <f>IF(FMECA!$N$14="","",IF(FMECA!E14="","",FMECA!E14))</f>
        <v/>
      </c>
      <c r="E11" s="42" t="str">
        <f>IF(FMECA!$N$14="","",IF(FMECA!N14="","",FMECA!N14))</f>
        <v/>
      </c>
      <c r="F11" s="42" t="str">
        <f>IF(FMECA!$N$14="","",IF(FMECA!O14="","",FMECA!O14))</f>
        <v/>
      </c>
      <c r="G11" s="43" t="str">
        <f>IF(FMECA!$N$14="","",IF(FMECA!P14="","",FMECA!P14))</f>
        <v/>
      </c>
      <c r="H11" s="42" t="str">
        <f>IF(FMECA!$N$14="","",IF(FMECA!Q14="","",FMECA!Q14))</f>
        <v/>
      </c>
      <c r="I11" s="44"/>
      <c r="J11" s="32"/>
      <c r="K11" s="45"/>
      <c r="L11" s="46" t="str">
        <f t="shared" ca="1" si="0"/>
        <v/>
      </c>
    </row>
    <row r="12" spans="1:12" ht="22" customHeight="1">
      <c r="A12" s="40">
        <v>8</v>
      </c>
      <c r="B12" s="41" t="str">
        <f>IF(FMECA!$N$15="","",IF(FMECA!B15="","",FMECA!B15))</f>
        <v/>
      </c>
      <c r="C12" s="20" t="str">
        <f>IF(B12="","",IFERROR(INDEX(tb_pcm_ativos[descricao_ativo],MATCH(B12,tb_pcm_ativos[tag],0)),"fora do cadastro"))</f>
        <v/>
      </c>
      <c r="D12" s="42" t="str">
        <f>IF(FMECA!$N$15="","",IF(FMECA!E15="","",FMECA!E15))</f>
        <v/>
      </c>
      <c r="E12" s="42" t="str">
        <f>IF(FMECA!$N$15="","",IF(FMECA!N15="","",FMECA!N15))</f>
        <v/>
      </c>
      <c r="F12" s="42" t="str">
        <f>IF(FMECA!$N$15="","",IF(FMECA!O15="","",FMECA!O15))</f>
        <v/>
      </c>
      <c r="G12" s="43" t="str">
        <f>IF(FMECA!$N$15="","",IF(FMECA!P15="","",FMECA!P15))</f>
        <v/>
      </c>
      <c r="H12" s="42" t="str">
        <f>IF(FMECA!$N$15="","",IF(FMECA!Q15="","",FMECA!Q15))</f>
        <v/>
      </c>
      <c r="I12" s="44"/>
      <c r="J12" s="32"/>
      <c r="K12" s="45"/>
      <c r="L12" s="46" t="str">
        <f t="shared" ca="1" si="0"/>
        <v/>
      </c>
    </row>
    <row r="13" spans="1:12" ht="22" customHeight="1">
      <c r="A13" s="40">
        <v>9</v>
      </c>
      <c r="B13" s="41" t="str">
        <f>IF(FMECA!$N$16="","",IF(FMECA!B16="","",FMECA!B16))</f>
        <v/>
      </c>
      <c r="C13" s="20" t="str">
        <f>IF(B13="","",IFERROR(INDEX(tb_pcm_ativos[descricao_ativo],MATCH(B13,tb_pcm_ativos[tag],0)),"fora do cadastro"))</f>
        <v/>
      </c>
      <c r="D13" s="42" t="str">
        <f>IF(FMECA!$N$16="","",IF(FMECA!E16="","",FMECA!E16))</f>
        <v/>
      </c>
      <c r="E13" s="42" t="str">
        <f>IF(FMECA!$N$16="","",IF(FMECA!N16="","",FMECA!N16))</f>
        <v/>
      </c>
      <c r="F13" s="42" t="str">
        <f>IF(FMECA!$N$16="","",IF(FMECA!O16="","",FMECA!O16))</f>
        <v/>
      </c>
      <c r="G13" s="43" t="str">
        <f>IF(FMECA!$N$16="","",IF(FMECA!P16="","",FMECA!P16))</f>
        <v/>
      </c>
      <c r="H13" s="42" t="str">
        <f>IF(FMECA!$N$16="","",IF(FMECA!Q16="","",FMECA!Q16))</f>
        <v/>
      </c>
      <c r="I13" s="44"/>
      <c r="J13" s="32"/>
      <c r="K13" s="45"/>
      <c r="L13" s="46" t="str">
        <f t="shared" ca="1" si="0"/>
        <v/>
      </c>
    </row>
    <row r="14" spans="1:12" ht="22" customHeight="1">
      <c r="A14" s="40">
        <v>10</v>
      </c>
      <c r="B14" s="41" t="str">
        <f>IF(FMECA!$N$17="","",IF(FMECA!B17="","",FMECA!B17))</f>
        <v/>
      </c>
      <c r="C14" s="20" t="str">
        <f>IF(B14="","",IFERROR(INDEX(tb_pcm_ativos[descricao_ativo],MATCH(B14,tb_pcm_ativos[tag],0)),"fora do cadastro"))</f>
        <v/>
      </c>
      <c r="D14" s="42" t="str">
        <f>IF(FMECA!$N$17="","",IF(FMECA!E17="","",FMECA!E17))</f>
        <v/>
      </c>
      <c r="E14" s="42" t="str">
        <f>IF(FMECA!$N$17="","",IF(FMECA!N17="","",FMECA!N17))</f>
        <v/>
      </c>
      <c r="F14" s="42" t="str">
        <f>IF(FMECA!$N$17="","",IF(FMECA!O17="","",FMECA!O17))</f>
        <v/>
      </c>
      <c r="G14" s="43" t="str">
        <f>IF(FMECA!$N$17="","",IF(FMECA!P17="","",FMECA!P17))</f>
        <v/>
      </c>
      <c r="H14" s="42" t="str">
        <f>IF(FMECA!$N$17="","",IF(FMECA!Q17="","",FMECA!Q17))</f>
        <v/>
      </c>
      <c r="I14" s="44"/>
      <c r="J14" s="32"/>
      <c r="K14" s="45"/>
      <c r="L14" s="46" t="str">
        <f t="shared" ca="1" si="0"/>
        <v/>
      </c>
    </row>
    <row r="15" spans="1:12" ht="22" customHeight="1">
      <c r="A15" s="40">
        <v>11</v>
      </c>
      <c r="B15" s="41" t="str">
        <f>IF(FMECA!$N$18="","",IF(FMECA!B18="","",FMECA!B18))</f>
        <v/>
      </c>
      <c r="C15" s="20" t="str">
        <f>IF(B15="","",IFERROR(INDEX(tb_pcm_ativos[descricao_ativo],MATCH(B15,tb_pcm_ativos[tag],0)),"fora do cadastro"))</f>
        <v/>
      </c>
      <c r="D15" s="42" t="str">
        <f>IF(FMECA!$N$18="","",IF(FMECA!E18="","",FMECA!E18))</f>
        <v/>
      </c>
      <c r="E15" s="42" t="str">
        <f>IF(FMECA!$N$18="","",IF(FMECA!N18="","",FMECA!N18))</f>
        <v/>
      </c>
      <c r="F15" s="42" t="str">
        <f>IF(FMECA!$N$18="","",IF(FMECA!O18="","",FMECA!O18))</f>
        <v/>
      </c>
      <c r="G15" s="43" t="str">
        <f>IF(FMECA!$N$18="","",IF(FMECA!P18="","",FMECA!P18))</f>
        <v/>
      </c>
      <c r="H15" s="42" t="str">
        <f>IF(FMECA!$N$18="","",IF(FMECA!Q18="","",FMECA!Q18))</f>
        <v/>
      </c>
      <c r="I15" s="44"/>
      <c r="J15" s="32"/>
      <c r="K15" s="45"/>
      <c r="L15" s="46" t="str">
        <f t="shared" ca="1" si="0"/>
        <v/>
      </c>
    </row>
    <row r="16" spans="1:12" ht="22" customHeight="1">
      <c r="A16" s="40">
        <v>12</v>
      </c>
      <c r="B16" s="41" t="str">
        <f>IF(FMECA!$N$19="","",IF(FMECA!B19="","",FMECA!B19))</f>
        <v/>
      </c>
      <c r="C16" s="20" t="str">
        <f>IF(B16="","",IFERROR(INDEX(tb_pcm_ativos[descricao_ativo],MATCH(B16,tb_pcm_ativos[tag],0)),"fora do cadastro"))</f>
        <v/>
      </c>
      <c r="D16" s="42" t="str">
        <f>IF(FMECA!$N$19="","",IF(FMECA!E19="","",FMECA!E19))</f>
        <v/>
      </c>
      <c r="E16" s="42" t="str">
        <f>IF(FMECA!$N$19="","",IF(FMECA!N19="","",FMECA!N19))</f>
        <v/>
      </c>
      <c r="F16" s="42" t="str">
        <f>IF(FMECA!$N$19="","",IF(FMECA!O19="","",FMECA!O19))</f>
        <v/>
      </c>
      <c r="G16" s="43" t="str">
        <f>IF(FMECA!$N$19="","",IF(FMECA!P19="","",FMECA!P19))</f>
        <v/>
      </c>
      <c r="H16" s="42" t="str">
        <f>IF(FMECA!$N$19="","",IF(FMECA!Q19="","",FMECA!Q19))</f>
        <v/>
      </c>
      <c r="I16" s="44"/>
      <c r="J16" s="32"/>
      <c r="K16" s="45"/>
      <c r="L16" s="46" t="str">
        <f t="shared" ca="1" si="0"/>
        <v/>
      </c>
    </row>
    <row r="17" spans="1:12" ht="22" customHeight="1">
      <c r="A17" s="40">
        <v>13</v>
      </c>
      <c r="B17" s="41" t="str">
        <f>IF(FMECA!$N$20="","",IF(FMECA!B20="","",FMECA!B20))</f>
        <v/>
      </c>
      <c r="C17" s="20" t="str">
        <f>IF(B17="","",IFERROR(INDEX(tb_pcm_ativos[descricao_ativo],MATCH(B17,tb_pcm_ativos[tag],0)),"fora do cadastro"))</f>
        <v/>
      </c>
      <c r="D17" s="42" t="str">
        <f>IF(FMECA!$N$20="","",IF(FMECA!E20="","",FMECA!E20))</f>
        <v/>
      </c>
      <c r="E17" s="42" t="str">
        <f>IF(FMECA!$N$20="","",IF(FMECA!N20="","",FMECA!N20))</f>
        <v/>
      </c>
      <c r="F17" s="42" t="str">
        <f>IF(FMECA!$N$20="","",IF(FMECA!O20="","",FMECA!O20))</f>
        <v/>
      </c>
      <c r="G17" s="43" t="str">
        <f>IF(FMECA!$N$20="","",IF(FMECA!P20="","",FMECA!P20))</f>
        <v/>
      </c>
      <c r="H17" s="42" t="str">
        <f>IF(FMECA!$N$20="","",IF(FMECA!Q20="","",FMECA!Q20))</f>
        <v/>
      </c>
      <c r="I17" s="44"/>
      <c r="J17" s="32"/>
      <c r="K17" s="45"/>
      <c r="L17" s="46" t="str">
        <f t="shared" ca="1" si="0"/>
        <v/>
      </c>
    </row>
    <row r="18" spans="1:12" ht="22" customHeight="1">
      <c r="A18" s="40">
        <v>14</v>
      </c>
      <c r="B18" s="41" t="str">
        <f>IF(FMECA!$N$21="","",IF(FMECA!B21="","",FMECA!B21))</f>
        <v/>
      </c>
      <c r="C18" s="20" t="str">
        <f>IF(B18="","",IFERROR(INDEX(tb_pcm_ativos[descricao_ativo],MATCH(B18,tb_pcm_ativos[tag],0)),"fora do cadastro"))</f>
        <v/>
      </c>
      <c r="D18" s="42" t="str">
        <f>IF(FMECA!$N$21="","",IF(FMECA!E21="","",FMECA!E21))</f>
        <v/>
      </c>
      <c r="E18" s="42" t="str">
        <f>IF(FMECA!$N$21="","",IF(FMECA!N21="","",FMECA!N21))</f>
        <v/>
      </c>
      <c r="F18" s="42" t="str">
        <f>IF(FMECA!$N$21="","",IF(FMECA!O21="","",FMECA!O21))</f>
        <v/>
      </c>
      <c r="G18" s="43" t="str">
        <f>IF(FMECA!$N$21="","",IF(FMECA!P21="","",FMECA!P21))</f>
        <v/>
      </c>
      <c r="H18" s="42" t="str">
        <f>IF(FMECA!$N$21="","",IF(FMECA!Q21="","",FMECA!Q21))</f>
        <v/>
      </c>
      <c r="I18" s="44"/>
      <c r="J18" s="32"/>
      <c r="K18" s="45"/>
      <c r="L18" s="46" t="str">
        <f t="shared" ca="1" si="0"/>
        <v/>
      </c>
    </row>
    <row r="19" spans="1:12" ht="22" customHeight="1">
      <c r="A19" s="40">
        <v>15</v>
      </c>
      <c r="B19" s="41" t="str">
        <f>IF(FMECA!$N$22="","",IF(FMECA!B22="","",FMECA!B22))</f>
        <v/>
      </c>
      <c r="C19" s="20" t="str">
        <f>IF(B19="","",IFERROR(INDEX(tb_pcm_ativos[descricao_ativo],MATCH(B19,tb_pcm_ativos[tag],0)),"fora do cadastro"))</f>
        <v/>
      </c>
      <c r="D19" s="42" t="str">
        <f>IF(FMECA!$N$22="","",IF(FMECA!E22="","",FMECA!E22))</f>
        <v/>
      </c>
      <c r="E19" s="42" t="str">
        <f>IF(FMECA!$N$22="","",IF(FMECA!N22="","",FMECA!N22))</f>
        <v/>
      </c>
      <c r="F19" s="42" t="str">
        <f>IF(FMECA!$N$22="","",IF(FMECA!O22="","",FMECA!O22))</f>
        <v/>
      </c>
      <c r="G19" s="43" t="str">
        <f>IF(FMECA!$N$22="","",IF(FMECA!P22="","",FMECA!P22))</f>
        <v/>
      </c>
      <c r="H19" s="42" t="str">
        <f>IF(FMECA!$N$22="","",IF(FMECA!Q22="","",FMECA!Q22))</f>
        <v/>
      </c>
      <c r="I19" s="44"/>
      <c r="J19" s="32"/>
      <c r="K19" s="45"/>
      <c r="L19" s="46" t="str">
        <f t="shared" ca="1" si="0"/>
        <v/>
      </c>
    </row>
    <row r="20" spans="1:12" ht="20" customHeight="1">
      <c r="A20" s="160" t="s">
        <v>178</v>
      </c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114"/>
    </row>
    <row r="21" spans="1:12" ht="22" customHeight="1">
      <c r="A21" s="18">
        <v>16</v>
      </c>
      <c r="B21" s="19"/>
      <c r="C21" s="20" t="str">
        <f>IF(B21="","",IFERROR(INDEX(tb_pcm_ativos[descricao_ativo],MATCH(B21,tb_pcm_ativos[tag],0)),"fora do cadastro"))</f>
        <v/>
      </c>
      <c r="D21" s="31"/>
      <c r="E21" s="31"/>
      <c r="F21" s="31"/>
      <c r="G21" s="32"/>
      <c r="H21" s="31"/>
      <c r="I21" s="44"/>
      <c r="J21" s="32"/>
      <c r="K21" s="45"/>
      <c r="L21" s="46" t="str">
        <f t="shared" ref="L21:L30" ca="1" si="1">IF(OR(K21="",G21="",G21=0),"",IF(K21&gt;=TODAY(),K21,K21+G21*ROUNDUP((TODAY()-K21)/G21,0)))</f>
        <v/>
      </c>
    </row>
    <row r="22" spans="1:12" ht="22" customHeight="1">
      <c r="A22" s="18">
        <v>17</v>
      </c>
      <c r="B22" s="19"/>
      <c r="C22" s="20" t="str">
        <f>IF(B22="","",IFERROR(INDEX(tb_pcm_ativos[descricao_ativo],MATCH(B22,tb_pcm_ativos[tag],0)),"fora do cadastro"))</f>
        <v/>
      </c>
      <c r="D22" s="31"/>
      <c r="E22" s="31"/>
      <c r="F22" s="31"/>
      <c r="G22" s="32"/>
      <c r="H22" s="31"/>
      <c r="I22" s="44"/>
      <c r="J22" s="32"/>
      <c r="K22" s="45"/>
      <c r="L22" s="46" t="str">
        <f t="shared" ca="1" si="1"/>
        <v/>
      </c>
    </row>
    <row r="23" spans="1:12" ht="22" customHeight="1">
      <c r="A23" s="18">
        <v>18</v>
      </c>
      <c r="B23" s="19"/>
      <c r="C23" s="20" t="str">
        <f>IF(B23="","",IFERROR(INDEX(tb_pcm_ativos[descricao_ativo],MATCH(B23,tb_pcm_ativos[tag],0)),"fora do cadastro"))</f>
        <v/>
      </c>
      <c r="D23" s="31"/>
      <c r="E23" s="31"/>
      <c r="F23" s="31"/>
      <c r="G23" s="32"/>
      <c r="H23" s="31"/>
      <c r="I23" s="44"/>
      <c r="J23" s="32"/>
      <c r="K23" s="45"/>
      <c r="L23" s="46" t="str">
        <f t="shared" ca="1" si="1"/>
        <v/>
      </c>
    </row>
    <row r="24" spans="1:12" ht="22" customHeight="1">
      <c r="A24" s="18">
        <v>19</v>
      </c>
      <c r="B24" s="19"/>
      <c r="C24" s="20" t="str">
        <f>IF(B24="","",IFERROR(INDEX(tb_pcm_ativos[descricao_ativo],MATCH(B24,tb_pcm_ativos[tag],0)),"fora do cadastro"))</f>
        <v/>
      </c>
      <c r="D24" s="31"/>
      <c r="E24" s="31"/>
      <c r="F24" s="31"/>
      <c r="G24" s="32"/>
      <c r="H24" s="31"/>
      <c r="I24" s="44"/>
      <c r="J24" s="32"/>
      <c r="K24" s="45"/>
      <c r="L24" s="46" t="str">
        <f t="shared" ca="1" si="1"/>
        <v/>
      </c>
    </row>
    <row r="25" spans="1:12" ht="22" customHeight="1">
      <c r="A25" s="18">
        <v>20</v>
      </c>
      <c r="B25" s="19"/>
      <c r="C25" s="20" t="str">
        <f>IF(B25="","",IFERROR(INDEX(tb_pcm_ativos[descricao_ativo],MATCH(B25,tb_pcm_ativos[tag],0)),"fora do cadastro"))</f>
        <v/>
      </c>
      <c r="D25" s="31"/>
      <c r="E25" s="31"/>
      <c r="F25" s="31"/>
      <c r="G25" s="32"/>
      <c r="H25" s="31"/>
      <c r="I25" s="44"/>
      <c r="J25" s="32"/>
      <c r="K25" s="45"/>
      <c r="L25" s="46" t="str">
        <f t="shared" ca="1" si="1"/>
        <v/>
      </c>
    </row>
    <row r="26" spans="1:12" ht="22" customHeight="1">
      <c r="A26" s="18">
        <v>21</v>
      </c>
      <c r="B26" s="19"/>
      <c r="C26" s="20" t="str">
        <f>IF(B26="","",IFERROR(INDEX(tb_pcm_ativos[descricao_ativo],MATCH(B26,tb_pcm_ativos[tag],0)),"fora do cadastro"))</f>
        <v/>
      </c>
      <c r="D26" s="31"/>
      <c r="E26" s="31"/>
      <c r="F26" s="31"/>
      <c r="G26" s="32"/>
      <c r="H26" s="31"/>
      <c r="I26" s="44"/>
      <c r="J26" s="32"/>
      <c r="K26" s="45"/>
      <c r="L26" s="46" t="str">
        <f t="shared" ca="1" si="1"/>
        <v/>
      </c>
    </row>
    <row r="27" spans="1:12" ht="22" customHeight="1">
      <c r="A27" s="18">
        <v>22</v>
      </c>
      <c r="B27" s="19"/>
      <c r="C27" s="20" t="str">
        <f>IF(B27="","",IFERROR(INDEX(tb_pcm_ativos[descricao_ativo],MATCH(B27,tb_pcm_ativos[tag],0)),"fora do cadastro"))</f>
        <v/>
      </c>
      <c r="D27" s="31"/>
      <c r="E27" s="31"/>
      <c r="F27" s="31"/>
      <c r="G27" s="32"/>
      <c r="H27" s="31"/>
      <c r="I27" s="44"/>
      <c r="J27" s="32"/>
      <c r="K27" s="45"/>
      <c r="L27" s="46" t="str">
        <f t="shared" ca="1" si="1"/>
        <v/>
      </c>
    </row>
    <row r="28" spans="1:12" ht="22" customHeight="1">
      <c r="A28" s="18">
        <v>23</v>
      </c>
      <c r="B28" s="19"/>
      <c r="C28" s="20" t="str">
        <f>IF(B28="","",IFERROR(INDEX(tb_pcm_ativos[descricao_ativo],MATCH(B28,tb_pcm_ativos[tag],0)),"fora do cadastro"))</f>
        <v/>
      </c>
      <c r="D28" s="31"/>
      <c r="E28" s="31"/>
      <c r="F28" s="31"/>
      <c r="G28" s="32"/>
      <c r="H28" s="31"/>
      <c r="I28" s="44"/>
      <c r="J28" s="32"/>
      <c r="K28" s="45"/>
      <c r="L28" s="46" t="str">
        <f t="shared" ca="1" si="1"/>
        <v/>
      </c>
    </row>
    <row r="29" spans="1:12" ht="22" customHeight="1">
      <c r="A29" s="18">
        <v>24</v>
      </c>
      <c r="B29" s="19"/>
      <c r="C29" s="20" t="str">
        <f>IF(B29="","",IFERROR(INDEX(tb_pcm_ativos[descricao_ativo],MATCH(B29,tb_pcm_ativos[tag],0)),"fora do cadastro"))</f>
        <v/>
      </c>
      <c r="D29" s="31"/>
      <c r="E29" s="31"/>
      <c r="F29" s="31"/>
      <c r="G29" s="32"/>
      <c r="H29" s="31"/>
      <c r="I29" s="44"/>
      <c r="J29" s="32"/>
      <c r="K29" s="45"/>
      <c r="L29" s="46" t="str">
        <f t="shared" ca="1" si="1"/>
        <v/>
      </c>
    </row>
    <row r="30" spans="1:12" ht="22" customHeight="1">
      <c r="A30" s="18">
        <v>25</v>
      </c>
      <c r="B30" s="19"/>
      <c r="C30" s="20" t="str">
        <f>IF(B30="","",IFERROR(INDEX(tb_pcm_ativos[descricao_ativo],MATCH(B30,tb_pcm_ativos[tag],0)),"fora do cadastro"))</f>
        <v/>
      </c>
      <c r="D30" s="31"/>
      <c r="E30" s="31"/>
      <c r="F30" s="31"/>
      <c r="G30" s="32"/>
      <c r="H30" s="31"/>
      <c r="I30" s="44"/>
      <c r="J30" s="32"/>
      <c r="K30" s="45"/>
      <c r="L30" s="46" t="str">
        <f t="shared" ca="1" si="1"/>
        <v/>
      </c>
    </row>
    <row r="31" spans="1:12" ht="20" customHeight="1">
      <c r="A31" s="143" t="s">
        <v>179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</row>
  </sheetData>
  <mergeCells count="9">
    <mergeCell ref="A31:L31"/>
    <mergeCell ref="E1:H1"/>
    <mergeCell ref="I2:L2"/>
    <mergeCell ref="E2:H2"/>
    <mergeCell ref="A20:L20"/>
    <mergeCell ref="A1:D2"/>
    <mergeCell ref="A3:H3"/>
    <mergeCell ref="I1:L1"/>
    <mergeCell ref="I3:L3"/>
  </mergeCells>
  <conditionalFormatting sqref="J5:J30">
    <cfRule type="expression" dxfId="1" priority="2" stopIfTrue="1">
      <formula>J5="Sim"</formula>
    </cfRule>
  </conditionalFormatting>
  <conditionalFormatting sqref="L5:L30">
    <cfRule type="expression" dxfId="0" priority="1" stopIfTrue="1">
      <formula>AND(ISNUMBER(L5),L5-TODAY()&lt;=7)</formula>
    </cfRule>
  </conditionalFormatting>
  <dataValidations count="7">
    <dataValidation type="list" allowBlank="1" showErrorMessage="1" errorTitle="Valor fora da lista" error="Escolha um item da lista." sqref="B21:B30" xr:uid="{00000000-0002-0000-0300-000000000000}">
      <formula1>L_TAGS</formula1>
    </dataValidation>
    <dataValidation type="list" allowBlank="1" showErrorMessage="1" errorTitle="Valor fora da lista" error="Escolha um item da lista." sqref="F21:F30" xr:uid="{00000000-0002-0000-0300-000001000000}">
      <formula1>"Inspeção,Preventiva,Preditiva,Lubrificação,Troca programada,Operar até falhar"</formula1>
    </dataValidation>
    <dataValidation type="whole" allowBlank="1" showErrorMessage="1" errorTitle="Número inválido" error="Digite um número inteiro de 1 a 3650." sqref="G21:G30" xr:uid="{00000000-0002-0000-0300-000002000000}">
      <formula1>1</formula1>
      <formula2>3650</formula2>
    </dataValidation>
    <dataValidation type="list" allowBlank="1" showErrorMessage="1" errorTitle="Valor fora da lista" error="Escolha um item da lista." sqref="H21:H30" xr:uid="{00000000-0002-0000-0300-000003000000}">
      <formula1>L_PESSOAS</formula1>
    </dataValidation>
    <dataValidation type="decimal" operator="greaterThanOrEqual" allowBlank="1" showErrorMessage="1" errorTitle="Número inválido" error="Digite um número maior ou igual a 0." sqref="I5:I19 I21:I30" xr:uid="{00000000-0002-0000-0300-000004000000}">
      <formula1>0</formula1>
    </dataValidation>
    <dataValidation type="list" allowBlank="1" showErrorMessage="1" errorTitle="Valor fora da lista" error="Escolha um item da lista." sqref="J5:J19 J21:J30" xr:uid="{00000000-0002-0000-0300-000005000000}">
      <formula1>"Sim,Não"</formula1>
    </dataValidation>
    <dataValidation type="date" allowBlank="1" showErrorMessage="1" errorTitle="Data inválida" error="Digite uma data válida (dd/mm/aaaa)." sqref="K5:K19 K21:K30" xr:uid="{00000000-0002-0000-0300-000006000000}">
      <formula1>DATE(2000,1,1)</formula1>
      <formula2>DATE(2100,12,31)</formula2>
    </dataValidation>
  </dataValidations>
  <printOptions horizontalCentered="1"/>
  <pageMargins left="0.4" right="0.4" top="0.45" bottom="0.6" header="0.2" footer="0.25"/>
  <pageSetup paperSize="9" orientation="landscape"/>
  <headerFooter>
    <oddFooter>&amp;L&amp;7 &amp;K4A5668PCM-MAN-002  ·  Manutenção planejada. Direto ao ponto.&amp;C&amp;7 &amp;K4A5668Página &amp;P de &amp;N&amp;R&amp;7 &amp;K4A5668PCM Direto  ·  Impresso em &amp;D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5AA6"/>
    <pageSetUpPr fitToPage="1"/>
  </sheetPr>
  <dimension ref="A1:BM35"/>
  <sheetViews>
    <sheetView showGridLines="0" zoomScale="90" workbookViewId="0">
      <selection sqref="A1:D2"/>
    </sheetView>
  </sheetViews>
  <sheetFormatPr defaultRowHeight="14.5"/>
  <cols>
    <col min="1" max="1" width="4" customWidth="1"/>
    <col min="2" max="2" width="10" customWidth="1"/>
    <col min="3" max="3" width="18" customWidth="1"/>
    <col min="4" max="4" width="30" customWidth="1"/>
    <col min="5" max="5" width="7.453125" customWidth="1"/>
    <col min="6" max="65" width="2.453125" customWidth="1"/>
  </cols>
  <sheetData>
    <row r="1" spans="1:65" ht="30.75" customHeight="1">
      <c r="A1" s="107"/>
      <c r="B1" s="108"/>
      <c r="C1" s="108"/>
      <c r="D1" s="109"/>
      <c r="E1" s="146" t="s">
        <v>38</v>
      </c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9"/>
      <c r="AY1" s="145" t="str">
        <f>"Rev. "&amp;'Leia-me'!$D$15&amp;"   ·   "&amp;'Leia-me'!$D$16</f>
        <v>Rev. 00   ·   30/Out/2026</v>
      </c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9"/>
    </row>
    <row r="2" spans="1:65" ht="28" customHeight="1">
      <c r="A2" s="110"/>
      <c r="B2" s="111"/>
      <c r="C2" s="111"/>
      <c r="D2" s="112"/>
      <c r="E2" s="128" t="s">
        <v>180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2"/>
      <c r="AY2" s="128" t="str">
        <f>"Elaborado: "&amp;'Leia-me'!$D$13&amp;"   ·   Aprovado: "&amp;'Leia-me'!$D$14</f>
        <v xml:space="preserve">Elaborado:    ·   Aprovado: </v>
      </c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2"/>
    </row>
    <row r="3" spans="1:65" ht="12" customHeight="1">
      <c r="A3" s="155" t="s">
        <v>181</v>
      </c>
      <c r="B3" s="132"/>
      <c r="C3" s="132"/>
      <c r="D3" s="135" t="s">
        <v>182</v>
      </c>
      <c r="E3" s="132"/>
      <c r="F3" s="135" t="s">
        <v>183</v>
      </c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8" t="s">
        <v>184</v>
      </c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3"/>
    </row>
    <row r="4" spans="1:65" ht="24" customHeight="1">
      <c r="A4" s="165"/>
      <c r="B4" s="116"/>
      <c r="C4" s="117"/>
      <c r="D4" s="144" t="str">
        <f ca="1">IF(YEAR(TODAY())=IF(N($A$4)&gt;0,N($A$4),IF(ISNUMBER(--$A$4),--$A$4,YEAR(TODAY()))),CHOOSE(MONTH(TODAY()),"Jan","Fev","Mar","Abr","Mai","Jun","Jul","Ago","Set","Out","Nov","Dez")&amp;" · "&amp;MIN(5,INT((DAY(TODAY())-1)/7)+1)&amp;"ª semana","")</f>
        <v/>
      </c>
      <c r="E4" s="117"/>
      <c r="F4" s="144" t="str">
        <f ca="1">IF(D4="","",COUNTIF(INDEX($F$8:$BM$33,0,IF(YEAR(TODAY())=IF(N($A$4)&gt;0,N($A$4),IF(ISNUMBER(--$A$4),--$A$4,YEAR(TODAY()))),(MONTH(TODAY())-1)*5+MIN(5,INT((DAY(TODAY())-1)/7)+1),"")),"●")&amp;" atividade(s) com data nesta semana")</f>
        <v/>
      </c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7"/>
      <c r="AJ4" s="166" t="str">
        <f ca="1">IF(SUM(F34:BM34)=0,"",SUM(F34:BM34))</f>
        <v/>
      </c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7"/>
    </row>
    <row r="5" spans="1:65" hidden="1">
      <c r="A5" s="12"/>
      <c r="B5" s="154"/>
      <c r="C5" s="88"/>
      <c r="D5" s="12"/>
      <c r="E5" s="12"/>
      <c r="F5" s="47">
        <f ca="1">IF(MONTH(DATE(IF(N($A$4)&gt;0,N($A$4),IF(ISNUMBER(--$A$4),--$A$4,YEAR(TODAY()))),1,1))=1,DATE(IF(N($A$4)&gt;0,N($A$4),IF(ISNUMBER(--$A$4),--$A$4,YEAR(TODAY()))),1,1),"")</f>
        <v>1</v>
      </c>
      <c r="G5" s="47">
        <f ca="1">IF(MONTH(DATE(IF(N($A$4)&gt;0,N($A$4),IF(ISNUMBER(--$A$4),--$A$4,YEAR(TODAY()))),1,8))=1,DATE(IF(N($A$4)&gt;0,N($A$4),IF(ISNUMBER(--$A$4),--$A$4,YEAR(TODAY()))),1,8),"")</f>
        <v>8</v>
      </c>
      <c r="H5" s="47">
        <f ca="1">IF(MONTH(DATE(IF(N($A$4)&gt;0,N($A$4),IF(ISNUMBER(--$A$4),--$A$4,YEAR(TODAY()))),1,15))=1,DATE(IF(N($A$4)&gt;0,N($A$4),IF(ISNUMBER(--$A$4),--$A$4,YEAR(TODAY()))),1,15),"")</f>
        <v>15</v>
      </c>
      <c r="I5" s="47">
        <f ca="1">IF(MONTH(DATE(IF(N($A$4)&gt;0,N($A$4),IF(ISNUMBER(--$A$4),--$A$4,YEAR(TODAY()))),1,22))=1,DATE(IF(N($A$4)&gt;0,N($A$4),IF(ISNUMBER(--$A$4),--$A$4,YEAR(TODAY()))),1,22),"")</f>
        <v>22</v>
      </c>
      <c r="J5" s="47">
        <f ca="1">IF(MONTH(DATE(IF(N($A$4)&gt;0,N($A$4),IF(ISNUMBER(--$A$4),--$A$4,YEAR(TODAY()))),1,29))=1,DATE(IF(N($A$4)&gt;0,N($A$4),IF(ISNUMBER(--$A$4),--$A$4,YEAR(TODAY()))),1,29),"")</f>
        <v>29</v>
      </c>
      <c r="K5" s="47">
        <f ca="1">IF(MONTH(DATE(IF(N($A$4)&gt;0,N($A$4),IF(ISNUMBER(--$A$4),--$A$4,YEAR(TODAY()))),2,1))=2,DATE(IF(N($A$4)&gt;0,N($A$4),IF(ISNUMBER(--$A$4),--$A$4,YEAR(TODAY()))),2,1),"")</f>
        <v>32</v>
      </c>
      <c r="L5" s="47">
        <f ca="1">IF(MONTH(DATE(IF(N($A$4)&gt;0,N($A$4),IF(ISNUMBER(--$A$4),--$A$4,YEAR(TODAY()))),2,8))=2,DATE(IF(N($A$4)&gt;0,N($A$4),IF(ISNUMBER(--$A$4),--$A$4,YEAR(TODAY()))),2,8),"")</f>
        <v>39</v>
      </c>
      <c r="M5" s="47">
        <f ca="1">IF(MONTH(DATE(IF(N($A$4)&gt;0,N($A$4),IF(ISNUMBER(--$A$4),--$A$4,YEAR(TODAY()))),2,15))=2,DATE(IF(N($A$4)&gt;0,N($A$4),IF(ISNUMBER(--$A$4),--$A$4,YEAR(TODAY()))),2,15),"")</f>
        <v>46</v>
      </c>
      <c r="N5" s="47">
        <f ca="1">IF(MONTH(DATE(IF(N($A$4)&gt;0,N($A$4),IF(ISNUMBER(--$A$4),--$A$4,YEAR(TODAY()))),2,22))=2,DATE(IF(N($A$4)&gt;0,N($A$4),IF(ISNUMBER(--$A$4),--$A$4,YEAR(TODAY()))),2,22),"")</f>
        <v>53</v>
      </c>
      <c r="O5" s="47">
        <f ca="1">IF(MONTH(DATE(IF(N($A$4)&gt;0,N($A$4),IF(ISNUMBER(--$A$4),--$A$4,YEAR(TODAY()))),2,29))=2,DATE(IF(N($A$4)&gt;0,N($A$4),IF(ISNUMBER(--$A$4),--$A$4,YEAR(TODAY()))),2,29),"")</f>
        <v>60</v>
      </c>
      <c r="P5" s="47">
        <f ca="1">IF(MONTH(DATE(IF(N($A$4)&gt;0,N($A$4),IF(ISNUMBER(--$A$4),--$A$4,YEAR(TODAY()))),3,1))=3,DATE(IF(N($A$4)&gt;0,N($A$4),IF(ISNUMBER(--$A$4),--$A$4,YEAR(TODAY()))),3,1),"")</f>
        <v>61</v>
      </c>
      <c r="Q5" s="47">
        <f ca="1">IF(MONTH(DATE(IF(N($A$4)&gt;0,N($A$4),IF(ISNUMBER(--$A$4),--$A$4,YEAR(TODAY()))),3,8))=3,DATE(IF(N($A$4)&gt;0,N($A$4),IF(ISNUMBER(--$A$4),--$A$4,YEAR(TODAY()))),3,8),"")</f>
        <v>68</v>
      </c>
      <c r="R5" s="47">
        <f ca="1">IF(MONTH(DATE(IF(N($A$4)&gt;0,N($A$4),IF(ISNUMBER(--$A$4),--$A$4,YEAR(TODAY()))),3,15))=3,DATE(IF(N($A$4)&gt;0,N($A$4),IF(ISNUMBER(--$A$4),--$A$4,YEAR(TODAY()))),3,15),"")</f>
        <v>75</v>
      </c>
      <c r="S5" s="47">
        <f ca="1">IF(MONTH(DATE(IF(N($A$4)&gt;0,N($A$4),IF(ISNUMBER(--$A$4),--$A$4,YEAR(TODAY()))),3,22))=3,DATE(IF(N($A$4)&gt;0,N($A$4),IF(ISNUMBER(--$A$4),--$A$4,YEAR(TODAY()))),3,22),"")</f>
        <v>82</v>
      </c>
      <c r="T5" s="47">
        <f ca="1">IF(MONTH(DATE(IF(N($A$4)&gt;0,N($A$4),IF(ISNUMBER(--$A$4),--$A$4,YEAR(TODAY()))),3,29))=3,DATE(IF(N($A$4)&gt;0,N($A$4),IF(ISNUMBER(--$A$4),--$A$4,YEAR(TODAY()))),3,29),"")</f>
        <v>89</v>
      </c>
      <c r="U5" s="47">
        <f ca="1">IF(MONTH(DATE(IF(N($A$4)&gt;0,N($A$4),IF(ISNUMBER(--$A$4),--$A$4,YEAR(TODAY()))),4,1))=4,DATE(IF(N($A$4)&gt;0,N($A$4),IF(ISNUMBER(--$A$4),--$A$4,YEAR(TODAY()))),4,1),"")</f>
        <v>92</v>
      </c>
      <c r="V5" s="47">
        <f ca="1">IF(MONTH(DATE(IF(N($A$4)&gt;0,N($A$4),IF(ISNUMBER(--$A$4),--$A$4,YEAR(TODAY()))),4,8))=4,DATE(IF(N($A$4)&gt;0,N($A$4),IF(ISNUMBER(--$A$4),--$A$4,YEAR(TODAY()))),4,8),"")</f>
        <v>99</v>
      </c>
      <c r="W5" s="47">
        <f ca="1">IF(MONTH(DATE(IF(N($A$4)&gt;0,N($A$4),IF(ISNUMBER(--$A$4),--$A$4,YEAR(TODAY()))),4,15))=4,DATE(IF(N($A$4)&gt;0,N($A$4),IF(ISNUMBER(--$A$4),--$A$4,YEAR(TODAY()))),4,15),"")</f>
        <v>106</v>
      </c>
      <c r="X5" s="47">
        <f ca="1">IF(MONTH(DATE(IF(N($A$4)&gt;0,N($A$4),IF(ISNUMBER(--$A$4),--$A$4,YEAR(TODAY()))),4,22))=4,DATE(IF(N($A$4)&gt;0,N($A$4),IF(ISNUMBER(--$A$4),--$A$4,YEAR(TODAY()))),4,22),"")</f>
        <v>113</v>
      </c>
      <c r="Y5" s="47">
        <f ca="1">IF(MONTH(DATE(IF(N($A$4)&gt;0,N($A$4),IF(ISNUMBER(--$A$4),--$A$4,YEAR(TODAY()))),4,29))=4,DATE(IF(N($A$4)&gt;0,N($A$4),IF(ISNUMBER(--$A$4),--$A$4,YEAR(TODAY()))),4,29),"")</f>
        <v>120</v>
      </c>
      <c r="Z5" s="47">
        <f ca="1">IF(MONTH(DATE(IF(N($A$4)&gt;0,N($A$4),IF(ISNUMBER(--$A$4),--$A$4,YEAR(TODAY()))),5,1))=5,DATE(IF(N($A$4)&gt;0,N($A$4),IF(ISNUMBER(--$A$4),--$A$4,YEAR(TODAY()))),5,1),"")</f>
        <v>122</v>
      </c>
      <c r="AA5" s="47">
        <f ca="1">IF(MONTH(DATE(IF(N($A$4)&gt;0,N($A$4),IF(ISNUMBER(--$A$4),--$A$4,YEAR(TODAY()))),5,8))=5,DATE(IF(N($A$4)&gt;0,N($A$4),IF(ISNUMBER(--$A$4),--$A$4,YEAR(TODAY()))),5,8),"")</f>
        <v>129</v>
      </c>
      <c r="AB5" s="47">
        <f ca="1">IF(MONTH(DATE(IF(N($A$4)&gt;0,N($A$4),IF(ISNUMBER(--$A$4),--$A$4,YEAR(TODAY()))),5,15))=5,DATE(IF(N($A$4)&gt;0,N($A$4),IF(ISNUMBER(--$A$4),--$A$4,YEAR(TODAY()))),5,15),"")</f>
        <v>136</v>
      </c>
      <c r="AC5" s="47">
        <f ca="1">IF(MONTH(DATE(IF(N($A$4)&gt;0,N($A$4),IF(ISNUMBER(--$A$4),--$A$4,YEAR(TODAY()))),5,22))=5,DATE(IF(N($A$4)&gt;0,N($A$4),IF(ISNUMBER(--$A$4),--$A$4,YEAR(TODAY()))),5,22),"")</f>
        <v>143</v>
      </c>
      <c r="AD5" s="47">
        <f ca="1">IF(MONTH(DATE(IF(N($A$4)&gt;0,N($A$4),IF(ISNUMBER(--$A$4),--$A$4,YEAR(TODAY()))),5,29))=5,DATE(IF(N($A$4)&gt;0,N($A$4),IF(ISNUMBER(--$A$4),--$A$4,YEAR(TODAY()))),5,29),"")</f>
        <v>150</v>
      </c>
      <c r="AE5" s="47">
        <f ca="1">IF(MONTH(DATE(IF(N($A$4)&gt;0,N($A$4),IF(ISNUMBER(--$A$4),--$A$4,YEAR(TODAY()))),6,1))=6,DATE(IF(N($A$4)&gt;0,N($A$4),IF(ISNUMBER(--$A$4),--$A$4,YEAR(TODAY()))),6,1),"")</f>
        <v>153</v>
      </c>
      <c r="AF5" s="47">
        <f ca="1">IF(MONTH(DATE(IF(N($A$4)&gt;0,N($A$4),IF(ISNUMBER(--$A$4),--$A$4,YEAR(TODAY()))),6,8))=6,DATE(IF(N($A$4)&gt;0,N($A$4),IF(ISNUMBER(--$A$4),--$A$4,YEAR(TODAY()))),6,8),"")</f>
        <v>160</v>
      </c>
      <c r="AG5" s="47">
        <f ca="1">IF(MONTH(DATE(IF(N($A$4)&gt;0,N($A$4),IF(ISNUMBER(--$A$4),--$A$4,YEAR(TODAY()))),6,15))=6,DATE(IF(N($A$4)&gt;0,N($A$4),IF(ISNUMBER(--$A$4),--$A$4,YEAR(TODAY()))),6,15),"")</f>
        <v>167</v>
      </c>
      <c r="AH5" s="47">
        <f ca="1">IF(MONTH(DATE(IF(N($A$4)&gt;0,N($A$4),IF(ISNUMBER(--$A$4),--$A$4,YEAR(TODAY()))),6,22))=6,DATE(IF(N($A$4)&gt;0,N($A$4),IF(ISNUMBER(--$A$4),--$A$4,YEAR(TODAY()))),6,22),"")</f>
        <v>174</v>
      </c>
      <c r="AI5" s="47">
        <f ca="1">IF(MONTH(DATE(IF(N($A$4)&gt;0,N($A$4),IF(ISNUMBER(--$A$4),--$A$4,YEAR(TODAY()))),6,29))=6,DATE(IF(N($A$4)&gt;0,N($A$4),IF(ISNUMBER(--$A$4),--$A$4,YEAR(TODAY()))),6,29),"")</f>
        <v>181</v>
      </c>
      <c r="AJ5" s="47">
        <f ca="1">IF(MONTH(DATE(IF(N($A$4)&gt;0,N($A$4),IF(ISNUMBER(--$A$4),--$A$4,YEAR(TODAY()))),7,1))=7,DATE(IF(N($A$4)&gt;0,N($A$4),IF(ISNUMBER(--$A$4),--$A$4,YEAR(TODAY()))),7,1),"")</f>
        <v>183</v>
      </c>
      <c r="AK5" s="47">
        <f ca="1">IF(MONTH(DATE(IF(N($A$4)&gt;0,N($A$4),IF(ISNUMBER(--$A$4),--$A$4,YEAR(TODAY()))),7,8))=7,DATE(IF(N($A$4)&gt;0,N($A$4),IF(ISNUMBER(--$A$4),--$A$4,YEAR(TODAY()))),7,8),"")</f>
        <v>190</v>
      </c>
      <c r="AL5" s="47">
        <f ca="1">IF(MONTH(DATE(IF(N($A$4)&gt;0,N($A$4),IF(ISNUMBER(--$A$4),--$A$4,YEAR(TODAY()))),7,15))=7,DATE(IF(N($A$4)&gt;0,N($A$4),IF(ISNUMBER(--$A$4),--$A$4,YEAR(TODAY()))),7,15),"")</f>
        <v>197</v>
      </c>
      <c r="AM5" s="47">
        <f ca="1">IF(MONTH(DATE(IF(N($A$4)&gt;0,N($A$4),IF(ISNUMBER(--$A$4),--$A$4,YEAR(TODAY()))),7,22))=7,DATE(IF(N($A$4)&gt;0,N($A$4),IF(ISNUMBER(--$A$4),--$A$4,YEAR(TODAY()))),7,22),"")</f>
        <v>204</v>
      </c>
      <c r="AN5" s="47">
        <f ca="1">IF(MONTH(DATE(IF(N($A$4)&gt;0,N($A$4),IF(ISNUMBER(--$A$4),--$A$4,YEAR(TODAY()))),7,29))=7,DATE(IF(N($A$4)&gt;0,N($A$4),IF(ISNUMBER(--$A$4),--$A$4,YEAR(TODAY()))),7,29),"")</f>
        <v>211</v>
      </c>
      <c r="AO5" s="47">
        <f ca="1">IF(MONTH(DATE(IF(N($A$4)&gt;0,N($A$4),IF(ISNUMBER(--$A$4),--$A$4,YEAR(TODAY()))),8,1))=8,DATE(IF(N($A$4)&gt;0,N($A$4),IF(ISNUMBER(--$A$4),--$A$4,YEAR(TODAY()))),8,1),"")</f>
        <v>214</v>
      </c>
      <c r="AP5" s="47">
        <f ca="1">IF(MONTH(DATE(IF(N($A$4)&gt;0,N($A$4),IF(ISNUMBER(--$A$4),--$A$4,YEAR(TODAY()))),8,8))=8,DATE(IF(N($A$4)&gt;0,N($A$4),IF(ISNUMBER(--$A$4),--$A$4,YEAR(TODAY()))),8,8),"")</f>
        <v>221</v>
      </c>
      <c r="AQ5" s="47">
        <f ca="1">IF(MONTH(DATE(IF(N($A$4)&gt;0,N($A$4),IF(ISNUMBER(--$A$4),--$A$4,YEAR(TODAY()))),8,15))=8,DATE(IF(N($A$4)&gt;0,N($A$4),IF(ISNUMBER(--$A$4),--$A$4,YEAR(TODAY()))),8,15),"")</f>
        <v>228</v>
      </c>
      <c r="AR5" s="47">
        <f ca="1">IF(MONTH(DATE(IF(N($A$4)&gt;0,N($A$4),IF(ISNUMBER(--$A$4),--$A$4,YEAR(TODAY()))),8,22))=8,DATE(IF(N($A$4)&gt;0,N($A$4),IF(ISNUMBER(--$A$4),--$A$4,YEAR(TODAY()))),8,22),"")</f>
        <v>235</v>
      </c>
      <c r="AS5" s="47">
        <f ca="1">IF(MONTH(DATE(IF(N($A$4)&gt;0,N($A$4),IF(ISNUMBER(--$A$4),--$A$4,YEAR(TODAY()))),8,29))=8,DATE(IF(N($A$4)&gt;0,N($A$4),IF(ISNUMBER(--$A$4),--$A$4,YEAR(TODAY()))),8,29),"")</f>
        <v>242</v>
      </c>
      <c r="AT5" s="47">
        <f ca="1">IF(MONTH(DATE(IF(N($A$4)&gt;0,N($A$4),IF(ISNUMBER(--$A$4),--$A$4,YEAR(TODAY()))),9,1))=9,DATE(IF(N($A$4)&gt;0,N($A$4),IF(ISNUMBER(--$A$4),--$A$4,YEAR(TODAY()))),9,1),"")</f>
        <v>245</v>
      </c>
      <c r="AU5" s="47">
        <f ca="1">IF(MONTH(DATE(IF(N($A$4)&gt;0,N($A$4),IF(ISNUMBER(--$A$4),--$A$4,YEAR(TODAY()))),9,8))=9,DATE(IF(N($A$4)&gt;0,N($A$4),IF(ISNUMBER(--$A$4),--$A$4,YEAR(TODAY()))),9,8),"")</f>
        <v>252</v>
      </c>
      <c r="AV5" s="47">
        <f ca="1">IF(MONTH(DATE(IF(N($A$4)&gt;0,N($A$4),IF(ISNUMBER(--$A$4),--$A$4,YEAR(TODAY()))),9,15))=9,DATE(IF(N($A$4)&gt;0,N($A$4),IF(ISNUMBER(--$A$4),--$A$4,YEAR(TODAY()))),9,15),"")</f>
        <v>259</v>
      </c>
      <c r="AW5" s="47">
        <f ca="1">IF(MONTH(DATE(IF(N($A$4)&gt;0,N($A$4),IF(ISNUMBER(--$A$4),--$A$4,YEAR(TODAY()))),9,22))=9,DATE(IF(N($A$4)&gt;0,N($A$4),IF(ISNUMBER(--$A$4),--$A$4,YEAR(TODAY()))),9,22),"")</f>
        <v>266</v>
      </c>
      <c r="AX5" s="47">
        <f ca="1">IF(MONTH(DATE(IF(N($A$4)&gt;0,N($A$4),IF(ISNUMBER(--$A$4),--$A$4,YEAR(TODAY()))),9,29))=9,DATE(IF(N($A$4)&gt;0,N($A$4),IF(ISNUMBER(--$A$4),--$A$4,YEAR(TODAY()))),9,29),"")</f>
        <v>273</v>
      </c>
      <c r="AY5" s="47">
        <f ca="1">IF(MONTH(DATE(IF(N($A$4)&gt;0,N($A$4),IF(ISNUMBER(--$A$4),--$A$4,YEAR(TODAY()))),10,1))=10,DATE(IF(N($A$4)&gt;0,N($A$4),IF(ISNUMBER(--$A$4),--$A$4,YEAR(TODAY()))),10,1),"")</f>
        <v>275</v>
      </c>
      <c r="AZ5" s="47">
        <f ca="1">IF(MONTH(DATE(IF(N($A$4)&gt;0,N($A$4),IF(ISNUMBER(--$A$4),--$A$4,YEAR(TODAY()))),10,8))=10,DATE(IF(N($A$4)&gt;0,N($A$4),IF(ISNUMBER(--$A$4),--$A$4,YEAR(TODAY()))),10,8),"")</f>
        <v>282</v>
      </c>
      <c r="BA5" s="47">
        <f ca="1">IF(MONTH(DATE(IF(N($A$4)&gt;0,N($A$4),IF(ISNUMBER(--$A$4),--$A$4,YEAR(TODAY()))),10,15))=10,DATE(IF(N($A$4)&gt;0,N($A$4),IF(ISNUMBER(--$A$4),--$A$4,YEAR(TODAY()))),10,15),"")</f>
        <v>289</v>
      </c>
      <c r="BB5" s="47">
        <f ca="1">IF(MONTH(DATE(IF(N($A$4)&gt;0,N($A$4),IF(ISNUMBER(--$A$4),--$A$4,YEAR(TODAY()))),10,22))=10,DATE(IF(N($A$4)&gt;0,N($A$4),IF(ISNUMBER(--$A$4),--$A$4,YEAR(TODAY()))),10,22),"")</f>
        <v>296</v>
      </c>
      <c r="BC5" s="47">
        <f ca="1">IF(MONTH(DATE(IF(N($A$4)&gt;0,N($A$4),IF(ISNUMBER(--$A$4),--$A$4,YEAR(TODAY()))),10,29))=10,DATE(IF(N($A$4)&gt;0,N($A$4),IF(ISNUMBER(--$A$4),--$A$4,YEAR(TODAY()))),10,29),"")</f>
        <v>303</v>
      </c>
      <c r="BD5" s="47">
        <f ca="1">IF(MONTH(DATE(IF(N($A$4)&gt;0,N($A$4),IF(ISNUMBER(--$A$4),--$A$4,YEAR(TODAY()))),11,1))=11,DATE(IF(N($A$4)&gt;0,N($A$4),IF(ISNUMBER(--$A$4),--$A$4,YEAR(TODAY()))),11,1),"")</f>
        <v>306</v>
      </c>
      <c r="BE5" s="47">
        <f ca="1">IF(MONTH(DATE(IF(N($A$4)&gt;0,N($A$4),IF(ISNUMBER(--$A$4),--$A$4,YEAR(TODAY()))),11,8))=11,DATE(IF(N($A$4)&gt;0,N($A$4),IF(ISNUMBER(--$A$4),--$A$4,YEAR(TODAY()))),11,8),"")</f>
        <v>313</v>
      </c>
      <c r="BF5" s="47">
        <f ca="1">IF(MONTH(DATE(IF(N($A$4)&gt;0,N($A$4),IF(ISNUMBER(--$A$4),--$A$4,YEAR(TODAY()))),11,15))=11,DATE(IF(N($A$4)&gt;0,N($A$4),IF(ISNUMBER(--$A$4),--$A$4,YEAR(TODAY()))),11,15),"")</f>
        <v>320</v>
      </c>
      <c r="BG5" s="47">
        <f ca="1">IF(MONTH(DATE(IF(N($A$4)&gt;0,N($A$4),IF(ISNUMBER(--$A$4),--$A$4,YEAR(TODAY()))),11,22))=11,DATE(IF(N($A$4)&gt;0,N($A$4),IF(ISNUMBER(--$A$4),--$A$4,YEAR(TODAY()))),11,22),"")</f>
        <v>327</v>
      </c>
      <c r="BH5" s="47">
        <f ca="1">IF(MONTH(DATE(IF(N($A$4)&gt;0,N($A$4),IF(ISNUMBER(--$A$4),--$A$4,YEAR(TODAY()))),11,29))=11,DATE(IF(N($A$4)&gt;0,N($A$4),IF(ISNUMBER(--$A$4),--$A$4,YEAR(TODAY()))),11,29),"")</f>
        <v>334</v>
      </c>
      <c r="BI5" s="47">
        <f ca="1">IF(MONTH(DATE(IF(N($A$4)&gt;0,N($A$4),IF(ISNUMBER(--$A$4),--$A$4,YEAR(TODAY()))),12,1))=12,DATE(IF(N($A$4)&gt;0,N($A$4),IF(ISNUMBER(--$A$4),--$A$4,YEAR(TODAY()))),12,1),"")</f>
        <v>336</v>
      </c>
      <c r="BJ5" s="47">
        <f ca="1">IF(MONTH(DATE(IF(N($A$4)&gt;0,N($A$4),IF(ISNUMBER(--$A$4),--$A$4,YEAR(TODAY()))),12,8))=12,DATE(IF(N($A$4)&gt;0,N($A$4),IF(ISNUMBER(--$A$4),--$A$4,YEAR(TODAY()))),12,8),"")</f>
        <v>343</v>
      </c>
      <c r="BK5" s="47">
        <f ca="1">IF(MONTH(DATE(IF(N($A$4)&gt;0,N($A$4),IF(ISNUMBER(--$A$4),--$A$4,YEAR(TODAY()))),12,15))=12,DATE(IF(N($A$4)&gt;0,N($A$4),IF(ISNUMBER(--$A$4),--$A$4,YEAR(TODAY()))),12,15),"")</f>
        <v>350</v>
      </c>
      <c r="BL5" s="47">
        <f ca="1">IF(MONTH(DATE(IF(N($A$4)&gt;0,N($A$4),IF(ISNUMBER(--$A$4),--$A$4,YEAR(TODAY()))),12,22))=12,DATE(IF(N($A$4)&gt;0,N($A$4),IF(ISNUMBER(--$A$4),--$A$4,YEAR(TODAY()))),12,22),"")</f>
        <v>357</v>
      </c>
      <c r="BM5" s="47">
        <f ca="1">IF(MONTH(DATE(IF(N($A$4)&gt;0,N($A$4),IF(ISNUMBER(--$A$4),--$A$4,YEAR(TODAY()))),12,29))=12,DATE(IF(N($A$4)&gt;0,N($A$4),IF(ISNUMBER(--$A$4),--$A$4,YEAR(TODAY()))),12,29),"")</f>
        <v>364</v>
      </c>
    </row>
    <row r="6" spans="1:65" ht="20" customHeight="1">
      <c r="A6" s="142" t="s">
        <v>185</v>
      </c>
      <c r="B6" s="132"/>
      <c r="C6" s="132"/>
      <c r="D6" s="132"/>
      <c r="E6" s="132"/>
      <c r="F6" s="164" t="s">
        <v>186</v>
      </c>
      <c r="G6" s="132"/>
      <c r="H6" s="132"/>
      <c r="I6" s="132"/>
      <c r="J6" s="132"/>
      <c r="K6" s="164" t="s">
        <v>187</v>
      </c>
      <c r="L6" s="132"/>
      <c r="M6" s="132"/>
      <c r="N6" s="132"/>
      <c r="O6" s="132"/>
      <c r="P6" s="164" t="s">
        <v>188</v>
      </c>
      <c r="Q6" s="132"/>
      <c r="R6" s="132"/>
      <c r="S6" s="132"/>
      <c r="T6" s="132"/>
      <c r="U6" s="164" t="s">
        <v>189</v>
      </c>
      <c r="V6" s="132"/>
      <c r="W6" s="132"/>
      <c r="X6" s="132"/>
      <c r="Y6" s="132"/>
      <c r="Z6" s="164" t="s">
        <v>190</v>
      </c>
      <c r="AA6" s="132"/>
      <c r="AB6" s="132"/>
      <c r="AC6" s="132"/>
      <c r="AD6" s="132"/>
      <c r="AE6" s="164" t="s">
        <v>191</v>
      </c>
      <c r="AF6" s="132"/>
      <c r="AG6" s="132"/>
      <c r="AH6" s="132"/>
      <c r="AI6" s="132"/>
      <c r="AJ6" s="164" t="s">
        <v>192</v>
      </c>
      <c r="AK6" s="132"/>
      <c r="AL6" s="132"/>
      <c r="AM6" s="132"/>
      <c r="AN6" s="132"/>
      <c r="AO6" s="164" t="s">
        <v>193</v>
      </c>
      <c r="AP6" s="132"/>
      <c r="AQ6" s="132"/>
      <c r="AR6" s="132"/>
      <c r="AS6" s="132"/>
      <c r="AT6" s="164" t="s">
        <v>194</v>
      </c>
      <c r="AU6" s="132"/>
      <c r="AV6" s="132"/>
      <c r="AW6" s="132"/>
      <c r="AX6" s="132"/>
      <c r="AY6" s="164" t="s">
        <v>195</v>
      </c>
      <c r="AZ6" s="132"/>
      <c r="BA6" s="132"/>
      <c r="BB6" s="132"/>
      <c r="BC6" s="132"/>
      <c r="BD6" s="164" t="s">
        <v>196</v>
      </c>
      <c r="BE6" s="132"/>
      <c r="BF6" s="132"/>
      <c r="BG6" s="132"/>
      <c r="BH6" s="132"/>
      <c r="BI6" s="167" t="s">
        <v>197</v>
      </c>
      <c r="BJ6" s="132"/>
      <c r="BK6" s="132"/>
      <c r="BL6" s="132"/>
      <c r="BM6" s="133"/>
    </row>
    <row r="7" spans="1:65" ht="24" customHeight="1">
      <c r="A7" s="14" t="s">
        <v>61</v>
      </c>
      <c r="B7" s="15" t="s">
        <v>198</v>
      </c>
      <c r="C7" s="15" t="s">
        <v>63</v>
      </c>
      <c r="D7" s="15" t="s">
        <v>172</v>
      </c>
      <c r="E7" s="15" t="s">
        <v>132</v>
      </c>
      <c r="F7" s="48">
        <v>1</v>
      </c>
      <c r="G7" s="49">
        <v>2</v>
      </c>
      <c r="H7" s="49">
        <v>3</v>
      </c>
      <c r="I7" s="49">
        <v>4</v>
      </c>
      <c r="J7" s="49">
        <f ca="1">IF(ISNUMBER(J$5),5,"–")</f>
        <v>5</v>
      </c>
      <c r="K7" s="48">
        <v>1</v>
      </c>
      <c r="L7" s="49">
        <v>2</v>
      </c>
      <c r="M7" s="49">
        <v>3</v>
      </c>
      <c r="N7" s="49">
        <v>4</v>
      </c>
      <c r="O7" s="49">
        <f ca="1">IF(ISNUMBER(O$5),5,"–")</f>
        <v>5</v>
      </c>
      <c r="P7" s="48">
        <v>1</v>
      </c>
      <c r="Q7" s="49">
        <v>2</v>
      </c>
      <c r="R7" s="49">
        <v>3</v>
      </c>
      <c r="S7" s="49">
        <v>4</v>
      </c>
      <c r="T7" s="49">
        <f ca="1">IF(ISNUMBER(T$5),5,"–")</f>
        <v>5</v>
      </c>
      <c r="U7" s="48">
        <v>1</v>
      </c>
      <c r="V7" s="49">
        <v>2</v>
      </c>
      <c r="W7" s="49">
        <v>3</v>
      </c>
      <c r="X7" s="49">
        <v>4</v>
      </c>
      <c r="Y7" s="49">
        <f ca="1">IF(ISNUMBER(Y$5),5,"–")</f>
        <v>5</v>
      </c>
      <c r="Z7" s="48">
        <v>1</v>
      </c>
      <c r="AA7" s="49">
        <v>2</v>
      </c>
      <c r="AB7" s="49">
        <v>3</v>
      </c>
      <c r="AC7" s="49">
        <v>4</v>
      </c>
      <c r="AD7" s="49">
        <f ca="1">IF(ISNUMBER(AD$5),5,"–")</f>
        <v>5</v>
      </c>
      <c r="AE7" s="48">
        <v>1</v>
      </c>
      <c r="AF7" s="49">
        <v>2</v>
      </c>
      <c r="AG7" s="49">
        <v>3</v>
      </c>
      <c r="AH7" s="49">
        <v>4</v>
      </c>
      <c r="AI7" s="49">
        <f ca="1">IF(ISNUMBER(AI$5),5,"–")</f>
        <v>5</v>
      </c>
      <c r="AJ7" s="48">
        <v>1</v>
      </c>
      <c r="AK7" s="49">
        <v>2</v>
      </c>
      <c r="AL7" s="49">
        <v>3</v>
      </c>
      <c r="AM7" s="49">
        <v>4</v>
      </c>
      <c r="AN7" s="49">
        <f ca="1">IF(ISNUMBER(AN$5),5,"–")</f>
        <v>5</v>
      </c>
      <c r="AO7" s="48">
        <v>1</v>
      </c>
      <c r="AP7" s="49">
        <v>2</v>
      </c>
      <c r="AQ7" s="49">
        <v>3</v>
      </c>
      <c r="AR7" s="49">
        <v>4</v>
      </c>
      <c r="AS7" s="49">
        <f ca="1">IF(ISNUMBER(AS$5),5,"–")</f>
        <v>5</v>
      </c>
      <c r="AT7" s="48">
        <v>1</v>
      </c>
      <c r="AU7" s="49">
        <v>2</v>
      </c>
      <c r="AV7" s="49">
        <v>3</v>
      </c>
      <c r="AW7" s="49">
        <v>4</v>
      </c>
      <c r="AX7" s="49">
        <f ca="1">IF(ISNUMBER(AX$5),5,"–")</f>
        <v>5</v>
      </c>
      <c r="AY7" s="48">
        <v>1</v>
      </c>
      <c r="AZ7" s="49">
        <v>2</v>
      </c>
      <c r="BA7" s="49">
        <v>3</v>
      </c>
      <c r="BB7" s="49">
        <v>4</v>
      </c>
      <c r="BC7" s="49">
        <f ca="1">IF(ISNUMBER(BC$5),5,"–")</f>
        <v>5</v>
      </c>
      <c r="BD7" s="48">
        <v>1</v>
      </c>
      <c r="BE7" s="49">
        <v>2</v>
      </c>
      <c r="BF7" s="49">
        <v>3</v>
      </c>
      <c r="BG7" s="49">
        <v>4</v>
      </c>
      <c r="BH7" s="49">
        <f ca="1">IF(ISNUMBER(BH$5),5,"–")</f>
        <v>5</v>
      </c>
      <c r="BI7" s="48">
        <v>1</v>
      </c>
      <c r="BJ7" s="49">
        <v>2</v>
      </c>
      <c r="BK7" s="49">
        <v>3</v>
      </c>
      <c r="BL7" s="49">
        <v>4</v>
      </c>
      <c r="BM7" s="50">
        <f ca="1">IF(ISNUMBER(BM$5),5,"–")</f>
        <v>5</v>
      </c>
    </row>
    <row r="8" spans="1:65" ht="18" customHeight="1">
      <c r="A8" s="40">
        <f>Plano!A5</f>
        <v>1</v>
      </c>
      <c r="B8" s="51" t="str">
        <f>IF(Plano!B5="","",Plano!B5)</f>
        <v/>
      </c>
      <c r="C8" s="20" t="str">
        <f>IF(B8="","",IFERROR(INDEX(tb_pcm_ativos[descricao_ativo],MATCH(B8,tb_pcm_ativos[tag],0)),"fora do cadastro"))</f>
        <v/>
      </c>
      <c r="D8" s="20" t="str">
        <f>IF(Plano!E5="","",Plano!E5)</f>
        <v/>
      </c>
      <c r="E8" s="52" t="str">
        <f>IF(Plano!G5="","",Plano!G5)</f>
        <v/>
      </c>
      <c r="F8" s="53" t="str">
        <f ca="1">IF(OR(NOT(ISNUMBER(F$5)),N(Plano!$G5)=0,N(Plano!$K5)=0),"",IF(Plano!$K5+Plano!$G5*MAX(0,ROUNDUP((F$5-Plano!$K5)/Plano!$G5,0))&lt;=IF(DAY(F$5)&gt;=29,EOMONTH(F$5,0),F$5+6),"●",""))</f>
        <v/>
      </c>
      <c r="G8" s="53" t="str">
        <f ca="1">IF(OR(NOT(ISNUMBER(G$5)),N(Plano!$G5)=0,N(Plano!$K5)=0),"",IF(Plano!$K5+Plano!$G5*MAX(0,ROUNDUP((G$5-Plano!$K5)/Plano!$G5,0))&lt;=IF(DAY(G$5)&gt;=29,EOMONTH(G$5,0),G$5+6),"●",""))</f>
        <v/>
      </c>
      <c r="H8" s="53" t="str">
        <f ca="1">IF(OR(NOT(ISNUMBER(H$5)),N(Plano!$G5)=0,N(Plano!$K5)=0),"",IF(Plano!$K5+Plano!$G5*MAX(0,ROUNDUP((H$5-Plano!$K5)/Plano!$G5,0))&lt;=IF(DAY(H$5)&gt;=29,EOMONTH(H$5,0),H$5+6),"●",""))</f>
        <v/>
      </c>
      <c r="I8" s="53" t="str">
        <f ca="1">IF(OR(NOT(ISNUMBER(I$5)),N(Plano!$G5)=0,N(Plano!$K5)=0),"",IF(Plano!$K5+Plano!$G5*MAX(0,ROUNDUP((I$5-Plano!$K5)/Plano!$G5,0))&lt;=IF(DAY(I$5)&gt;=29,EOMONTH(I$5,0),I$5+6),"●",""))</f>
        <v/>
      </c>
      <c r="J8" s="53" t="str">
        <f ca="1">IF(OR(NOT(ISNUMBER(J$5)),N(Plano!$G5)=0,N(Plano!$K5)=0),"",IF(Plano!$K5+Plano!$G5*MAX(0,ROUNDUP((J$5-Plano!$K5)/Plano!$G5,0))&lt;=IF(DAY(J$5)&gt;=29,EOMONTH(J$5,0),J$5+6),"●",""))</f>
        <v/>
      </c>
      <c r="K8" s="54" t="str">
        <f ca="1">IF(OR(NOT(ISNUMBER(K$5)),N(Plano!$G5)=0,N(Plano!$K5)=0),"",IF(Plano!$K5+Plano!$G5*MAX(0,ROUNDUP((K$5-Plano!$K5)/Plano!$G5,0))&lt;=IF(DAY(K$5)&gt;=29,EOMONTH(K$5,0),K$5+6),"●",""))</f>
        <v/>
      </c>
      <c r="L8" s="53" t="str">
        <f ca="1">IF(OR(NOT(ISNUMBER(L$5)),N(Plano!$G5)=0,N(Plano!$K5)=0),"",IF(Plano!$K5+Plano!$G5*MAX(0,ROUNDUP((L$5-Plano!$K5)/Plano!$G5,0))&lt;=IF(DAY(L$5)&gt;=29,EOMONTH(L$5,0),L$5+6),"●",""))</f>
        <v/>
      </c>
      <c r="M8" s="53" t="str">
        <f ca="1">IF(OR(NOT(ISNUMBER(M$5)),N(Plano!$G5)=0,N(Plano!$K5)=0),"",IF(Plano!$K5+Plano!$G5*MAX(0,ROUNDUP((M$5-Plano!$K5)/Plano!$G5,0))&lt;=IF(DAY(M$5)&gt;=29,EOMONTH(M$5,0),M$5+6),"●",""))</f>
        <v/>
      </c>
      <c r="N8" s="53" t="str">
        <f ca="1">IF(OR(NOT(ISNUMBER(N$5)),N(Plano!$G5)=0,N(Plano!$K5)=0),"",IF(Plano!$K5+Plano!$G5*MAX(0,ROUNDUP((N$5-Plano!$K5)/Plano!$G5,0))&lt;=IF(DAY(N$5)&gt;=29,EOMONTH(N$5,0),N$5+6),"●",""))</f>
        <v/>
      </c>
      <c r="O8" s="53" t="str">
        <f ca="1">IF(OR(NOT(ISNUMBER(O$5)),N(Plano!$G5)=0,N(Plano!$K5)=0),"",IF(Plano!$K5+Plano!$G5*MAX(0,ROUNDUP((O$5-Plano!$K5)/Plano!$G5,0))&lt;=IF(DAY(O$5)&gt;=29,EOMONTH(O$5,0),O$5+6),"●",""))</f>
        <v/>
      </c>
      <c r="P8" s="54" t="str">
        <f ca="1">IF(OR(NOT(ISNUMBER(P$5)),N(Plano!$G5)=0,N(Plano!$K5)=0),"",IF(Plano!$K5+Plano!$G5*MAX(0,ROUNDUP((P$5-Plano!$K5)/Plano!$G5,0))&lt;=IF(DAY(P$5)&gt;=29,EOMONTH(P$5,0),P$5+6),"●",""))</f>
        <v/>
      </c>
      <c r="Q8" s="53" t="str">
        <f ca="1">IF(OR(NOT(ISNUMBER(Q$5)),N(Plano!$G5)=0,N(Plano!$K5)=0),"",IF(Plano!$K5+Plano!$G5*MAX(0,ROUNDUP((Q$5-Plano!$K5)/Plano!$G5,0))&lt;=IF(DAY(Q$5)&gt;=29,EOMONTH(Q$5,0),Q$5+6),"●",""))</f>
        <v/>
      </c>
      <c r="R8" s="53" t="str">
        <f ca="1">IF(OR(NOT(ISNUMBER(R$5)),N(Plano!$G5)=0,N(Plano!$K5)=0),"",IF(Plano!$K5+Plano!$G5*MAX(0,ROUNDUP((R$5-Plano!$K5)/Plano!$G5,0))&lt;=IF(DAY(R$5)&gt;=29,EOMONTH(R$5,0),R$5+6),"●",""))</f>
        <v/>
      </c>
      <c r="S8" s="53" t="str">
        <f ca="1">IF(OR(NOT(ISNUMBER(S$5)),N(Plano!$G5)=0,N(Plano!$K5)=0),"",IF(Plano!$K5+Plano!$G5*MAX(0,ROUNDUP((S$5-Plano!$K5)/Plano!$G5,0))&lt;=IF(DAY(S$5)&gt;=29,EOMONTH(S$5,0),S$5+6),"●",""))</f>
        <v/>
      </c>
      <c r="T8" s="53" t="str">
        <f ca="1">IF(OR(NOT(ISNUMBER(T$5)),N(Plano!$G5)=0,N(Plano!$K5)=0),"",IF(Plano!$K5+Plano!$G5*MAX(0,ROUNDUP((T$5-Plano!$K5)/Plano!$G5,0))&lt;=IF(DAY(T$5)&gt;=29,EOMONTH(T$5,0),T$5+6),"●",""))</f>
        <v/>
      </c>
      <c r="U8" s="54" t="str">
        <f ca="1">IF(OR(NOT(ISNUMBER(U$5)),N(Plano!$G5)=0,N(Plano!$K5)=0),"",IF(Plano!$K5+Plano!$G5*MAX(0,ROUNDUP((U$5-Plano!$K5)/Plano!$G5,0))&lt;=IF(DAY(U$5)&gt;=29,EOMONTH(U$5,0),U$5+6),"●",""))</f>
        <v/>
      </c>
      <c r="V8" s="53" t="str">
        <f ca="1">IF(OR(NOT(ISNUMBER(V$5)),N(Plano!$G5)=0,N(Plano!$K5)=0),"",IF(Plano!$K5+Plano!$G5*MAX(0,ROUNDUP((V$5-Plano!$K5)/Plano!$G5,0))&lt;=IF(DAY(V$5)&gt;=29,EOMONTH(V$5,0),V$5+6),"●",""))</f>
        <v/>
      </c>
      <c r="W8" s="53" t="str">
        <f ca="1">IF(OR(NOT(ISNUMBER(W$5)),N(Plano!$G5)=0,N(Plano!$K5)=0),"",IF(Plano!$K5+Plano!$G5*MAX(0,ROUNDUP((W$5-Plano!$K5)/Plano!$G5,0))&lt;=IF(DAY(W$5)&gt;=29,EOMONTH(W$5,0),W$5+6),"●",""))</f>
        <v/>
      </c>
      <c r="X8" s="53" t="str">
        <f ca="1">IF(OR(NOT(ISNUMBER(X$5)),N(Plano!$G5)=0,N(Plano!$K5)=0),"",IF(Plano!$K5+Plano!$G5*MAX(0,ROUNDUP((X$5-Plano!$K5)/Plano!$G5,0))&lt;=IF(DAY(X$5)&gt;=29,EOMONTH(X$5,0),X$5+6),"●",""))</f>
        <v/>
      </c>
      <c r="Y8" s="53" t="str">
        <f ca="1">IF(OR(NOT(ISNUMBER(Y$5)),N(Plano!$G5)=0,N(Plano!$K5)=0),"",IF(Plano!$K5+Plano!$G5*MAX(0,ROUNDUP((Y$5-Plano!$K5)/Plano!$G5,0))&lt;=IF(DAY(Y$5)&gt;=29,EOMONTH(Y$5,0),Y$5+6),"●",""))</f>
        <v/>
      </c>
      <c r="Z8" s="54" t="str">
        <f ca="1">IF(OR(NOT(ISNUMBER(Z$5)),N(Plano!$G5)=0,N(Plano!$K5)=0),"",IF(Plano!$K5+Plano!$G5*MAX(0,ROUNDUP((Z$5-Plano!$K5)/Plano!$G5,0))&lt;=IF(DAY(Z$5)&gt;=29,EOMONTH(Z$5,0),Z$5+6),"●",""))</f>
        <v/>
      </c>
      <c r="AA8" s="53" t="str">
        <f ca="1">IF(OR(NOT(ISNUMBER(AA$5)),N(Plano!$G5)=0,N(Plano!$K5)=0),"",IF(Plano!$K5+Plano!$G5*MAX(0,ROUNDUP((AA$5-Plano!$K5)/Plano!$G5,0))&lt;=IF(DAY(AA$5)&gt;=29,EOMONTH(AA$5,0),AA$5+6),"●",""))</f>
        <v/>
      </c>
      <c r="AB8" s="53" t="str">
        <f ca="1">IF(OR(NOT(ISNUMBER(AB$5)),N(Plano!$G5)=0,N(Plano!$K5)=0),"",IF(Plano!$K5+Plano!$G5*MAX(0,ROUNDUP((AB$5-Plano!$K5)/Plano!$G5,0))&lt;=IF(DAY(AB$5)&gt;=29,EOMONTH(AB$5,0),AB$5+6),"●",""))</f>
        <v/>
      </c>
      <c r="AC8" s="53" t="str">
        <f ca="1">IF(OR(NOT(ISNUMBER(AC$5)),N(Plano!$G5)=0,N(Plano!$K5)=0),"",IF(Plano!$K5+Plano!$G5*MAX(0,ROUNDUP((AC$5-Plano!$K5)/Plano!$G5,0))&lt;=IF(DAY(AC$5)&gt;=29,EOMONTH(AC$5,0),AC$5+6),"●",""))</f>
        <v/>
      </c>
      <c r="AD8" s="53" t="str">
        <f ca="1">IF(OR(NOT(ISNUMBER(AD$5)),N(Plano!$G5)=0,N(Plano!$K5)=0),"",IF(Plano!$K5+Plano!$G5*MAX(0,ROUNDUP((AD$5-Plano!$K5)/Plano!$G5,0))&lt;=IF(DAY(AD$5)&gt;=29,EOMONTH(AD$5,0),AD$5+6),"●",""))</f>
        <v/>
      </c>
      <c r="AE8" s="54" t="str">
        <f ca="1">IF(OR(NOT(ISNUMBER(AE$5)),N(Plano!$G5)=0,N(Plano!$K5)=0),"",IF(Plano!$K5+Plano!$G5*MAX(0,ROUNDUP((AE$5-Plano!$K5)/Plano!$G5,0))&lt;=IF(DAY(AE$5)&gt;=29,EOMONTH(AE$5,0),AE$5+6),"●",""))</f>
        <v/>
      </c>
      <c r="AF8" s="53" t="str">
        <f ca="1">IF(OR(NOT(ISNUMBER(AF$5)),N(Plano!$G5)=0,N(Plano!$K5)=0),"",IF(Plano!$K5+Plano!$G5*MAX(0,ROUNDUP((AF$5-Plano!$K5)/Plano!$G5,0))&lt;=IF(DAY(AF$5)&gt;=29,EOMONTH(AF$5,0),AF$5+6),"●",""))</f>
        <v/>
      </c>
      <c r="AG8" s="53" t="str">
        <f ca="1">IF(OR(NOT(ISNUMBER(AG$5)),N(Plano!$G5)=0,N(Plano!$K5)=0),"",IF(Plano!$K5+Plano!$G5*MAX(0,ROUNDUP((AG$5-Plano!$K5)/Plano!$G5,0))&lt;=IF(DAY(AG$5)&gt;=29,EOMONTH(AG$5,0),AG$5+6),"●",""))</f>
        <v/>
      </c>
      <c r="AH8" s="53" t="str">
        <f ca="1">IF(OR(NOT(ISNUMBER(AH$5)),N(Plano!$G5)=0,N(Plano!$K5)=0),"",IF(Plano!$K5+Plano!$G5*MAX(0,ROUNDUP((AH$5-Plano!$K5)/Plano!$G5,0))&lt;=IF(DAY(AH$5)&gt;=29,EOMONTH(AH$5,0),AH$5+6),"●",""))</f>
        <v/>
      </c>
      <c r="AI8" s="53" t="str">
        <f ca="1">IF(OR(NOT(ISNUMBER(AI$5)),N(Plano!$G5)=0,N(Plano!$K5)=0),"",IF(Plano!$K5+Plano!$G5*MAX(0,ROUNDUP((AI$5-Plano!$K5)/Plano!$G5,0))&lt;=IF(DAY(AI$5)&gt;=29,EOMONTH(AI$5,0),AI$5+6),"●",""))</f>
        <v/>
      </c>
      <c r="AJ8" s="54" t="str">
        <f ca="1">IF(OR(NOT(ISNUMBER(AJ$5)),N(Plano!$G5)=0,N(Plano!$K5)=0),"",IF(Plano!$K5+Plano!$G5*MAX(0,ROUNDUP((AJ$5-Plano!$K5)/Plano!$G5,0))&lt;=IF(DAY(AJ$5)&gt;=29,EOMONTH(AJ$5,0),AJ$5+6),"●",""))</f>
        <v/>
      </c>
      <c r="AK8" s="53" t="str">
        <f ca="1">IF(OR(NOT(ISNUMBER(AK$5)),N(Plano!$G5)=0,N(Plano!$K5)=0),"",IF(Plano!$K5+Plano!$G5*MAX(0,ROUNDUP((AK$5-Plano!$K5)/Plano!$G5,0))&lt;=IF(DAY(AK$5)&gt;=29,EOMONTH(AK$5,0),AK$5+6),"●",""))</f>
        <v/>
      </c>
      <c r="AL8" s="53" t="str">
        <f ca="1">IF(OR(NOT(ISNUMBER(AL$5)),N(Plano!$G5)=0,N(Plano!$K5)=0),"",IF(Plano!$K5+Plano!$G5*MAX(0,ROUNDUP((AL$5-Plano!$K5)/Plano!$G5,0))&lt;=IF(DAY(AL$5)&gt;=29,EOMONTH(AL$5,0),AL$5+6),"●",""))</f>
        <v/>
      </c>
      <c r="AM8" s="53" t="str">
        <f ca="1">IF(OR(NOT(ISNUMBER(AM$5)),N(Plano!$G5)=0,N(Plano!$K5)=0),"",IF(Plano!$K5+Plano!$G5*MAX(0,ROUNDUP((AM$5-Plano!$K5)/Plano!$G5,0))&lt;=IF(DAY(AM$5)&gt;=29,EOMONTH(AM$5,0),AM$5+6),"●",""))</f>
        <v/>
      </c>
      <c r="AN8" s="53" t="str">
        <f ca="1">IF(OR(NOT(ISNUMBER(AN$5)),N(Plano!$G5)=0,N(Plano!$K5)=0),"",IF(Plano!$K5+Plano!$G5*MAX(0,ROUNDUP((AN$5-Plano!$K5)/Plano!$G5,0))&lt;=IF(DAY(AN$5)&gt;=29,EOMONTH(AN$5,0),AN$5+6),"●",""))</f>
        <v/>
      </c>
      <c r="AO8" s="54" t="str">
        <f ca="1">IF(OR(NOT(ISNUMBER(AO$5)),N(Plano!$G5)=0,N(Plano!$K5)=0),"",IF(Plano!$K5+Plano!$G5*MAX(0,ROUNDUP((AO$5-Plano!$K5)/Plano!$G5,0))&lt;=IF(DAY(AO$5)&gt;=29,EOMONTH(AO$5,0),AO$5+6),"●",""))</f>
        <v/>
      </c>
      <c r="AP8" s="53" t="str">
        <f ca="1">IF(OR(NOT(ISNUMBER(AP$5)),N(Plano!$G5)=0,N(Plano!$K5)=0),"",IF(Plano!$K5+Plano!$G5*MAX(0,ROUNDUP((AP$5-Plano!$K5)/Plano!$G5,0))&lt;=IF(DAY(AP$5)&gt;=29,EOMONTH(AP$5,0),AP$5+6),"●",""))</f>
        <v/>
      </c>
      <c r="AQ8" s="53" t="str">
        <f ca="1">IF(OR(NOT(ISNUMBER(AQ$5)),N(Plano!$G5)=0,N(Plano!$K5)=0),"",IF(Plano!$K5+Plano!$G5*MAX(0,ROUNDUP((AQ$5-Plano!$K5)/Plano!$G5,0))&lt;=IF(DAY(AQ$5)&gt;=29,EOMONTH(AQ$5,0),AQ$5+6),"●",""))</f>
        <v/>
      </c>
      <c r="AR8" s="53" t="str">
        <f ca="1">IF(OR(NOT(ISNUMBER(AR$5)),N(Plano!$G5)=0,N(Plano!$K5)=0),"",IF(Plano!$K5+Plano!$G5*MAX(0,ROUNDUP((AR$5-Plano!$K5)/Plano!$G5,0))&lt;=IF(DAY(AR$5)&gt;=29,EOMONTH(AR$5,0),AR$5+6),"●",""))</f>
        <v/>
      </c>
      <c r="AS8" s="53" t="str">
        <f ca="1">IF(OR(NOT(ISNUMBER(AS$5)),N(Plano!$G5)=0,N(Plano!$K5)=0),"",IF(Plano!$K5+Plano!$G5*MAX(0,ROUNDUP((AS$5-Plano!$K5)/Plano!$G5,0))&lt;=IF(DAY(AS$5)&gt;=29,EOMONTH(AS$5,0),AS$5+6),"●",""))</f>
        <v/>
      </c>
      <c r="AT8" s="54" t="str">
        <f ca="1">IF(OR(NOT(ISNUMBER(AT$5)),N(Plano!$G5)=0,N(Plano!$K5)=0),"",IF(Plano!$K5+Plano!$G5*MAX(0,ROUNDUP((AT$5-Plano!$K5)/Plano!$G5,0))&lt;=IF(DAY(AT$5)&gt;=29,EOMONTH(AT$5,0),AT$5+6),"●",""))</f>
        <v/>
      </c>
      <c r="AU8" s="53" t="str">
        <f ca="1">IF(OR(NOT(ISNUMBER(AU$5)),N(Plano!$G5)=0,N(Plano!$K5)=0),"",IF(Plano!$K5+Plano!$G5*MAX(0,ROUNDUP((AU$5-Plano!$K5)/Plano!$G5,0))&lt;=IF(DAY(AU$5)&gt;=29,EOMONTH(AU$5,0),AU$5+6),"●",""))</f>
        <v/>
      </c>
      <c r="AV8" s="53" t="str">
        <f ca="1">IF(OR(NOT(ISNUMBER(AV$5)),N(Plano!$G5)=0,N(Plano!$K5)=0),"",IF(Plano!$K5+Plano!$G5*MAX(0,ROUNDUP((AV$5-Plano!$K5)/Plano!$G5,0))&lt;=IF(DAY(AV$5)&gt;=29,EOMONTH(AV$5,0),AV$5+6),"●",""))</f>
        <v/>
      </c>
      <c r="AW8" s="53" t="str">
        <f ca="1">IF(OR(NOT(ISNUMBER(AW$5)),N(Plano!$G5)=0,N(Plano!$K5)=0),"",IF(Plano!$K5+Plano!$G5*MAX(0,ROUNDUP((AW$5-Plano!$K5)/Plano!$G5,0))&lt;=IF(DAY(AW$5)&gt;=29,EOMONTH(AW$5,0),AW$5+6),"●",""))</f>
        <v/>
      </c>
      <c r="AX8" s="53" t="str">
        <f ca="1">IF(OR(NOT(ISNUMBER(AX$5)),N(Plano!$G5)=0,N(Plano!$K5)=0),"",IF(Plano!$K5+Plano!$G5*MAX(0,ROUNDUP((AX$5-Plano!$K5)/Plano!$G5,0))&lt;=IF(DAY(AX$5)&gt;=29,EOMONTH(AX$5,0),AX$5+6),"●",""))</f>
        <v/>
      </c>
      <c r="AY8" s="54" t="str">
        <f ca="1">IF(OR(NOT(ISNUMBER(AY$5)),N(Plano!$G5)=0,N(Plano!$K5)=0),"",IF(Plano!$K5+Plano!$G5*MAX(0,ROUNDUP((AY$5-Plano!$K5)/Plano!$G5,0))&lt;=IF(DAY(AY$5)&gt;=29,EOMONTH(AY$5,0),AY$5+6),"●",""))</f>
        <v/>
      </c>
      <c r="AZ8" s="53" t="str">
        <f ca="1">IF(OR(NOT(ISNUMBER(AZ$5)),N(Plano!$G5)=0,N(Plano!$K5)=0),"",IF(Plano!$K5+Plano!$G5*MAX(0,ROUNDUP((AZ$5-Plano!$K5)/Plano!$G5,0))&lt;=IF(DAY(AZ$5)&gt;=29,EOMONTH(AZ$5,0),AZ$5+6),"●",""))</f>
        <v/>
      </c>
      <c r="BA8" s="53" t="str">
        <f ca="1">IF(OR(NOT(ISNUMBER(BA$5)),N(Plano!$G5)=0,N(Plano!$K5)=0),"",IF(Plano!$K5+Plano!$G5*MAX(0,ROUNDUP((BA$5-Plano!$K5)/Plano!$G5,0))&lt;=IF(DAY(BA$5)&gt;=29,EOMONTH(BA$5,0),BA$5+6),"●",""))</f>
        <v/>
      </c>
      <c r="BB8" s="53" t="str">
        <f ca="1">IF(OR(NOT(ISNUMBER(BB$5)),N(Plano!$G5)=0,N(Plano!$K5)=0),"",IF(Plano!$K5+Plano!$G5*MAX(0,ROUNDUP((BB$5-Plano!$K5)/Plano!$G5,0))&lt;=IF(DAY(BB$5)&gt;=29,EOMONTH(BB$5,0),BB$5+6),"●",""))</f>
        <v/>
      </c>
      <c r="BC8" s="53" t="str">
        <f ca="1">IF(OR(NOT(ISNUMBER(BC$5)),N(Plano!$G5)=0,N(Plano!$K5)=0),"",IF(Plano!$K5+Plano!$G5*MAX(0,ROUNDUP((BC$5-Plano!$K5)/Plano!$G5,0))&lt;=IF(DAY(BC$5)&gt;=29,EOMONTH(BC$5,0),BC$5+6),"●",""))</f>
        <v/>
      </c>
      <c r="BD8" s="54" t="str">
        <f ca="1">IF(OR(NOT(ISNUMBER(BD$5)),N(Plano!$G5)=0,N(Plano!$K5)=0),"",IF(Plano!$K5+Plano!$G5*MAX(0,ROUNDUP((BD$5-Plano!$K5)/Plano!$G5,0))&lt;=IF(DAY(BD$5)&gt;=29,EOMONTH(BD$5,0),BD$5+6),"●",""))</f>
        <v/>
      </c>
      <c r="BE8" s="53" t="str">
        <f ca="1">IF(OR(NOT(ISNUMBER(BE$5)),N(Plano!$G5)=0,N(Plano!$K5)=0),"",IF(Plano!$K5+Plano!$G5*MAX(0,ROUNDUP((BE$5-Plano!$K5)/Plano!$G5,0))&lt;=IF(DAY(BE$5)&gt;=29,EOMONTH(BE$5,0),BE$5+6),"●",""))</f>
        <v/>
      </c>
      <c r="BF8" s="53" t="str">
        <f ca="1">IF(OR(NOT(ISNUMBER(BF$5)),N(Plano!$G5)=0,N(Plano!$K5)=0),"",IF(Plano!$K5+Plano!$G5*MAX(0,ROUNDUP((BF$5-Plano!$K5)/Plano!$G5,0))&lt;=IF(DAY(BF$5)&gt;=29,EOMONTH(BF$5,0),BF$5+6),"●",""))</f>
        <v/>
      </c>
      <c r="BG8" s="53" t="str">
        <f ca="1">IF(OR(NOT(ISNUMBER(BG$5)),N(Plano!$G5)=0,N(Plano!$K5)=0),"",IF(Plano!$K5+Plano!$G5*MAX(0,ROUNDUP((BG$5-Plano!$K5)/Plano!$G5,0))&lt;=IF(DAY(BG$5)&gt;=29,EOMONTH(BG$5,0),BG$5+6),"●",""))</f>
        <v/>
      </c>
      <c r="BH8" s="53" t="str">
        <f ca="1">IF(OR(NOT(ISNUMBER(BH$5)),N(Plano!$G5)=0,N(Plano!$K5)=0),"",IF(Plano!$K5+Plano!$G5*MAX(0,ROUNDUP((BH$5-Plano!$K5)/Plano!$G5,0))&lt;=IF(DAY(BH$5)&gt;=29,EOMONTH(BH$5,0),BH$5+6),"●",""))</f>
        <v/>
      </c>
      <c r="BI8" s="54" t="str">
        <f ca="1">IF(OR(NOT(ISNUMBER(BI$5)),N(Plano!$G5)=0,N(Plano!$K5)=0),"",IF(Plano!$K5+Plano!$G5*MAX(0,ROUNDUP((BI$5-Plano!$K5)/Plano!$G5,0))&lt;=IF(DAY(BI$5)&gt;=29,EOMONTH(BI$5,0),BI$5+6),"●",""))</f>
        <v/>
      </c>
      <c r="BJ8" s="53" t="str">
        <f ca="1">IF(OR(NOT(ISNUMBER(BJ$5)),N(Plano!$G5)=0,N(Plano!$K5)=0),"",IF(Plano!$K5+Plano!$G5*MAX(0,ROUNDUP((BJ$5-Plano!$K5)/Plano!$G5,0))&lt;=IF(DAY(BJ$5)&gt;=29,EOMONTH(BJ$5,0),BJ$5+6),"●",""))</f>
        <v/>
      </c>
      <c r="BK8" s="53" t="str">
        <f ca="1">IF(OR(NOT(ISNUMBER(BK$5)),N(Plano!$G5)=0,N(Plano!$K5)=0),"",IF(Plano!$K5+Plano!$G5*MAX(0,ROUNDUP((BK$5-Plano!$K5)/Plano!$G5,0))&lt;=IF(DAY(BK$5)&gt;=29,EOMONTH(BK$5,0),BK$5+6),"●",""))</f>
        <v/>
      </c>
      <c r="BL8" s="53" t="str">
        <f ca="1">IF(OR(NOT(ISNUMBER(BL$5)),N(Plano!$G5)=0,N(Plano!$K5)=0),"",IF(Plano!$K5+Plano!$G5*MAX(0,ROUNDUP((BL$5-Plano!$K5)/Plano!$G5,0))&lt;=IF(DAY(BL$5)&gt;=29,EOMONTH(BL$5,0),BL$5+6),"●",""))</f>
        <v/>
      </c>
      <c r="BM8" s="55" t="str">
        <f ca="1">IF(OR(NOT(ISNUMBER(BM$5)),N(Plano!$G5)=0,N(Plano!$K5)=0),"",IF(Plano!$K5+Plano!$G5*MAX(0,ROUNDUP((BM$5-Plano!$K5)/Plano!$G5,0))&lt;=IF(DAY(BM$5)&gt;=29,EOMONTH(BM$5,0),BM$5+6),"●",""))</f>
        <v/>
      </c>
    </row>
    <row r="9" spans="1:65" ht="18" customHeight="1">
      <c r="A9" s="40">
        <f>Plano!A6</f>
        <v>2</v>
      </c>
      <c r="B9" s="51" t="str">
        <f>IF(Plano!B6="","",Plano!B6)</f>
        <v/>
      </c>
      <c r="C9" s="20" t="str">
        <f>IF(B9="","",IFERROR(INDEX(tb_pcm_ativos[descricao_ativo],MATCH(B9,tb_pcm_ativos[tag],0)),"fora do cadastro"))</f>
        <v/>
      </c>
      <c r="D9" s="20" t="str">
        <f>IF(Plano!E6="","",Plano!E6)</f>
        <v/>
      </c>
      <c r="E9" s="52" t="str">
        <f>IF(Plano!G6="","",Plano!G6)</f>
        <v/>
      </c>
      <c r="F9" s="53" t="str">
        <f ca="1">IF(OR(NOT(ISNUMBER(F$5)),N(Plano!$G6)=0,N(Plano!$K6)=0),"",IF(Plano!$K6+Plano!$G6*MAX(0,ROUNDUP((F$5-Plano!$K6)/Plano!$G6,0))&lt;=IF(DAY(F$5)&gt;=29,EOMONTH(F$5,0),F$5+6),"●",""))</f>
        <v/>
      </c>
      <c r="G9" s="53" t="str">
        <f ca="1">IF(OR(NOT(ISNUMBER(G$5)),N(Plano!$G6)=0,N(Plano!$K6)=0),"",IF(Plano!$K6+Plano!$G6*MAX(0,ROUNDUP((G$5-Plano!$K6)/Plano!$G6,0))&lt;=IF(DAY(G$5)&gt;=29,EOMONTH(G$5,0),G$5+6),"●",""))</f>
        <v/>
      </c>
      <c r="H9" s="53" t="str">
        <f ca="1">IF(OR(NOT(ISNUMBER(H$5)),N(Plano!$G6)=0,N(Plano!$K6)=0),"",IF(Plano!$K6+Plano!$G6*MAX(0,ROUNDUP((H$5-Plano!$K6)/Plano!$G6,0))&lt;=IF(DAY(H$5)&gt;=29,EOMONTH(H$5,0),H$5+6),"●",""))</f>
        <v/>
      </c>
      <c r="I9" s="53" t="str">
        <f ca="1">IF(OR(NOT(ISNUMBER(I$5)),N(Plano!$G6)=0,N(Plano!$K6)=0),"",IF(Plano!$K6+Plano!$G6*MAX(0,ROUNDUP((I$5-Plano!$K6)/Plano!$G6,0))&lt;=IF(DAY(I$5)&gt;=29,EOMONTH(I$5,0),I$5+6),"●",""))</f>
        <v/>
      </c>
      <c r="J9" s="53" t="str">
        <f ca="1">IF(OR(NOT(ISNUMBER(J$5)),N(Plano!$G6)=0,N(Plano!$K6)=0),"",IF(Plano!$K6+Plano!$G6*MAX(0,ROUNDUP((J$5-Plano!$K6)/Plano!$G6,0))&lt;=IF(DAY(J$5)&gt;=29,EOMONTH(J$5,0),J$5+6),"●",""))</f>
        <v/>
      </c>
      <c r="K9" s="54" t="str">
        <f ca="1">IF(OR(NOT(ISNUMBER(K$5)),N(Plano!$G6)=0,N(Plano!$K6)=0),"",IF(Plano!$K6+Plano!$G6*MAX(0,ROUNDUP((K$5-Plano!$K6)/Plano!$G6,0))&lt;=IF(DAY(K$5)&gt;=29,EOMONTH(K$5,0),K$5+6),"●",""))</f>
        <v/>
      </c>
      <c r="L9" s="53" t="str">
        <f ca="1">IF(OR(NOT(ISNUMBER(L$5)),N(Plano!$G6)=0,N(Plano!$K6)=0),"",IF(Plano!$K6+Plano!$G6*MAX(0,ROUNDUP((L$5-Plano!$K6)/Plano!$G6,0))&lt;=IF(DAY(L$5)&gt;=29,EOMONTH(L$5,0),L$5+6),"●",""))</f>
        <v/>
      </c>
      <c r="M9" s="53" t="str">
        <f ca="1">IF(OR(NOT(ISNUMBER(M$5)),N(Plano!$G6)=0,N(Plano!$K6)=0),"",IF(Plano!$K6+Plano!$G6*MAX(0,ROUNDUP((M$5-Plano!$K6)/Plano!$G6,0))&lt;=IF(DAY(M$5)&gt;=29,EOMONTH(M$5,0),M$5+6),"●",""))</f>
        <v/>
      </c>
      <c r="N9" s="53" t="str">
        <f ca="1">IF(OR(NOT(ISNUMBER(N$5)),N(Plano!$G6)=0,N(Plano!$K6)=0),"",IF(Plano!$K6+Plano!$G6*MAX(0,ROUNDUP((N$5-Plano!$K6)/Plano!$G6,0))&lt;=IF(DAY(N$5)&gt;=29,EOMONTH(N$5,0),N$5+6),"●",""))</f>
        <v/>
      </c>
      <c r="O9" s="53" t="str">
        <f ca="1">IF(OR(NOT(ISNUMBER(O$5)),N(Plano!$G6)=0,N(Plano!$K6)=0),"",IF(Plano!$K6+Plano!$G6*MAX(0,ROUNDUP((O$5-Plano!$K6)/Plano!$G6,0))&lt;=IF(DAY(O$5)&gt;=29,EOMONTH(O$5,0),O$5+6),"●",""))</f>
        <v/>
      </c>
      <c r="P9" s="54" t="str">
        <f ca="1">IF(OR(NOT(ISNUMBER(P$5)),N(Plano!$G6)=0,N(Plano!$K6)=0),"",IF(Plano!$K6+Plano!$G6*MAX(0,ROUNDUP((P$5-Plano!$K6)/Plano!$G6,0))&lt;=IF(DAY(P$5)&gt;=29,EOMONTH(P$5,0),P$5+6),"●",""))</f>
        <v/>
      </c>
      <c r="Q9" s="53" t="str">
        <f ca="1">IF(OR(NOT(ISNUMBER(Q$5)),N(Plano!$G6)=0,N(Plano!$K6)=0),"",IF(Plano!$K6+Plano!$G6*MAX(0,ROUNDUP((Q$5-Plano!$K6)/Plano!$G6,0))&lt;=IF(DAY(Q$5)&gt;=29,EOMONTH(Q$5,0),Q$5+6),"●",""))</f>
        <v/>
      </c>
      <c r="R9" s="53" t="str">
        <f ca="1">IF(OR(NOT(ISNUMBER(R$5)),N(Plano!$G6)=0,N(Plano!$K6)=0),"",IF(Plano!$K6+Plano!$G6*MAX(0,ROUNDUP((R$5-Plano!$K6)/Plano!$G6,0))&lt;=IF(DAY(R$5)&gt;=29,EOMONTH(R$5,0),R$5+6),"●",""))</f>
        <v/>
      </c>
      <c r="S9" s="53" t="str">
        <f ca="1">IF(OR(NOT(ISNUMBER(S$5)),N(Plano!$G6)=0,N(Plano!$K6)=0),"",IF(Plano!$K6+Plano!$G6*MAX(0,ROUNDUP((S$5-Plano!$K6)/Plano!$G6,0))&lt;=IF(DAY(S$5)&gt;=29,EOMONTH(S$5,0),S$5+6),"●",""))</f>
        <v/>
      </c>
      <c r="T9" s="53" t="str">
        <f ca="1">IF(OR(NOT(ISNUMBER(T$5)),N(Plano!$G6)=0,N(Plano!$K6)=0),"",IF(Plano!$K6+Plano!$G6*MAX(0,ROUNDUP((T$5-Plano!$K6)/Plano!$G6,0))&lt;=IF(DAY(T$5)&gt;=29,EOMONTH(T$5,0),T$5+6),"●",""))</f>
        <v/>
      </c>
      <c r="U9" s="54" t="str">
        <f ca="1">IF(OR(NOT(ISNUMBER(U$5)),N(Plano!$G6)=0,N(Plano!$K6)=0),"",IF(Plano!$K6+Plano!$G6*MAX(0,ROUNDUP((U$5-Plano!$K6)/Plano!$G6,0))&lt;=IF(DAY(U$5)&gt;=29,EOMONTH(U$5,0),U$5+6),"●",""))</f>
        <v/>
      </c>
      <c r="V9" s="53" t="str">
        <f ca="1">IF(OR(NOT(ISNUMBER(V$5)),N(Plano!$G6)=0,N(Plano!$K6)=0),"",IF(Plano!$K6+Plano!$G6*MAX(0,ROUNDUP((V$5-Plano!$K6)/Plano!$G6,0))&lt;=IF(DAY(V$5)&gt;=29,EOMONTH(V$5,0),V$5+6),"●",""))</f>
        <v/>
      </c>
      <c r="W9" s="53" t="str">
        <f ca="1">IF(OR(NOT(ISNUMBER(W$5)),N(Plano!$G6)=0,N(Plano!$K6)=0),"",IF(Plano!$K6+Plano!$G6*MAX(0,ROUNDUP((W$5-Plano!$K6)/Plano!$G6,0))&lt;=IF(DAY(W$5)&gt;=29,EOMONTH(W$5,0),W$5+6),"●",""))</f>
        <v/>
      </c>
      <c r="X9" s="53" t="str">
        <f ca="1">IF(OR(NOT(ISNUMBER(X$5)),N(Plano!$G6)=0,N(Plano!$K6)=0),"",IF(Plano!$K6+Plano!$G6*MAX(0,ROUNDUP((X$5-Plano!$K6)/Plano!$G6,0))&lt;=IF(DAY(X$5)&gt;=29,EOMONTH(X$5,0),X$5+6),"●",""))</f>
        <v/>
      </c>
      <c r="Y9" s="53" t="str">
        <f ca="1">IF(OR(NOT(ISNUMBER(Y$5)),N(Plano!$G6)=0,N(Plano!$K6)=0),"",IF(Plano!$K6+Plano!$G6*MAX(0,ROUNDUP((Y$5-Plano!$K6)/Plano!$G6,0))&lt;=IF(DAY(Y$5)&gt;=29,EOMONTH(Y$5,0),Y$5+6),"●",""))</f>
        <v/>
      </c>
      <c r="Z9" s="54" t="str">
        <f ca="1">IF(OR(NOT(ISNUMBER(Z$5)),N(Plano!$G6)=0,N(Plano!$K6)=0),"",IF(Plano!$K6+Plano!$G6*MAX(0,ROUNDUP((Z$5-Plano!$K6)/Plano!$G6,0))&lt;=IF(DAY(Z$5)&gt;=29,EOMONTH(Z$5,0),Z$5+6),"●",""))</f>
        <v/>
      </c>
      <c r="AA9" s="53" t="str">
        <f ca="1">IF(OR(NOT(ISNUMBER(AA$5)),N(Plano!$G6)=0,N(Plano!$K6)=0),"",IF(Plano!$K6+Plano!$G6*MAX(0,ROUNDUP((AA$5-Plano!$K6)/Plano!$G6,0))&lt;=IF(DAY(AA$5)&gt;=29,EOMONTH(AA$5,0),AA$5+6),"●",""))</f>
        <v/>
      </c>
      <c r="AB9" s="53" t="str">
        <f ca="1">IF(OR(NOT(ISNUMBER(AB$5)),N(Plano!$G6)=0,N(Plano!$K6)=0),"",IF(Plano!$K6+Plano!$G6*MAX(0,ROUNDUP((AB$5-Plano!$K6)/Plano!$G6,0))&lt;=IF(DAY(AB$5)&gt;=29,EOMONTH(AB$5,0),AB$5+6),"●",""))</f>
        <v/>
      </c>
      <c r="AC9" s="53" t="str">
        <f ca="1">IF(OR(NOT(ISNUMBER(AC$5)),N(Plano!$G6)=0,N(Plano!$K6)=0),"",IF(Plano!$K6+Plano!$G6*MAX(0,ROUNDUP((AC$5-Plano!$K6)/Plano!$G6,0))&lt;=IF(DAY(AC$5)&gt;=29,EOMONTH(AC$5,0),AC$5+6),"●",""))</f>
        <v/>
      </c>
      <c r="AD9" s="53" t="str">
        <f ca="1">IF(OR(NOT(ISNUMBER(AD$5)),N(Plano!$G6)=0,N(Plano!$K6)=0),"",IF(Plano!$K6+Plano!$G6*MAX(0,ROUNDUP((AD$5-Plano!$K6)/Plano!$G6,0))&lt;=IF(DAY(AD$5)&gt;=29,EOMONTH(AD$5,0),AD$5+6),"●",""))</f>
        <v/>
      </c>
      <c r="AE9" s="54" t="str">
        <f ca="1">IF(OR(NOT(ISNUMBER(AE$5)),N(Plano!$G6)=0,N(Plano!$K6)=0),"",IF(Plano!$K6+Plano!$G6*MAX(0,ROUNDUP((AE$5-Plano!$K6)/Plano!$G6,0))&lt;=IF(DAY(AE$5)&gt;=29,EOMONTH(AE$5,0),AE$5+6),"●",""))</f>
        <v/>
      </c>
      <c r="AF9" s="53" t="str">
        <f ca="1">IF(OR(NOT(ISNUMBER(AF$5)),N(Plano!$G6)=0,N(Plano!$K6)=0),"",IF(Plano!$K6+Plano!$G6*MAX(0,ROUNDUP((AF$5-Plano!$K6)/Plano!$G6,0))&lt;=IF(DAY(AF$5)&gt;=29,EOMONTH(AF$5,0),AF$5+6),"●",""))</f>
        <v/>
      </c>
      <c r="AG9" s="53" t="str">
        <f ca="1">IF(OR(NOT(ISNUMBER(AG$5)),N(Plano!$G6)=0,N(Plano!$K6)=0),"",IF(Plano!$K6+Plano!$G6*MAX(0,ROUNDUP((AG$5-Plano!$K6)/Plano!$G6,0))&lt;=IF(DAY(AG$5)&gt;=29,EOMONTH(AG$5,0),AG$5+6),"●",""))</f>
        <v/>
      </c>
      <c r="AH9" s="53" t="str">
        <f ca="1">IF(OR(NOT(ISNUMBER(AH$5)),N(Plano!$G6)=0,N(Plano!$K6)=0),"",IF(Plano!$K6+Plano!$G6*MAX(0,ROUNDUP((AH$5-Plano!$K6)/Plano!$G6,0))&lt;=IF(DAY(AH$5)&gt;=29,EOMONTH(AH$5,0),AH$5+6),"●",""))</f>
        <v/>
      </c>
      <c r="AI9" s="53" t="str">
        <f ca="1">IF(OR(NOT(ISNUMBER(AI$5)),N(Plano!$G6)=0,N(Plano!$K6)=0),"",IF(Plano!$K6+Plano!$G6*MAX(0,ROUNDUP((AI$5-Plano!$K6)/Plano!$G6,0))&lt;=IF(DAY(AI$5)&gt;=29,EOMONTH(AI$5,0),AI$5+6),"●",""))</f>
        <v/>
      </c>
      <c r="AJ9" s="54" t="str">
        <f ca="1">IF(OR(NOT(ISNUMBER(AJ$5)),N(Plano!$G6)=0,N(Plano!$K6)=0),"",IF(Plano!$K6+Plano!$G6*MAX(0,ROUNDUP((AJ$5-Plano!$K6)/Plano!$G6,0))&lt;=IF(DAY(AJ$5)&gt;=29,EOMONTH(AJ$5,0),AJ$5+6),"●",""))</f>
        <v/>
      </c>
      <c r="AK9" s="53" t="str">
        <f ca="1">IF(OR(NOT(ISNUMBER(AK$5)),N(Plano!$G6)=0,N(Plano!$K6)=0),"",IF(Plano!$K6+Plano!$G6*MAX(0,ROUNDUP((AK$5-Plano!$K6)/Plano!$G6,0))&lt;=IF(DAY(AK$5)&gt;=29,EOMONTH(AK$5,0),AK$5+6),"●",""))</f>
        <v/>
      </c>
      <c r="AL9" s="53" t="str">
        <f ca="1">IF(OR(NOT(ISNUMBER(AL$5)),N(Plano!$G6)=0,N(Plano!$K6)=0),"",IF(Plano!$K6+Plano!$G6*MAX(0,ROUNDUP((AL$5-Plano!$K6)/Plano!$G6,0))&lt;=IF(DAY(AL$5)&gt;=29,EOMONTH(AL$5,0),AL$5+6),"●",""))</f>
        <v/>
      </c>
      <c r="AM9" s="53" t="str">
        <f ca="1">IF(OR(NOT(ISNUMBER(AM$5)),N(Plano!$G6)=0,N(Plano!$K6)=0),"",IF(Plano!$K6+Plano!$G6*MAX(0,ROUNDUP((AM$5-Plano!$K6)/Plano!$G6,0))&lt;=IF(DAY(AM$5)&gt;=29,EOMONTH(AM$5,0),AM$5+6),"●",""))</f>
        <v/>
      </c>
      <c r="AN9" s="53" t="str">
        <f ca="1">IF(OR(NOT(ISNUMBER(AN$5)),N(Plano!$G6)=0,N(Plano!$K6)=0),"",IF(Plano!$K6+Plano!$G6*MAX(0,ROUNDUP((AN$5-Plano!$K6)/Plano!$G6,0))&lt;=IF(DAY(AN$5)&gt;=29,EOMONTH(AN$5,0),AN$5+6),"●",""))</f>
        <v/>
      </c>
      <c r="AO9" s="54" t="str">
        <f ca="1">IF(OR(NOT(ISNUMBER(AO$5)),N(Plano!$G6)=0,N(Plano!$K6)=0),"",IF(Plano!$K6+Plano!$G6*MAX(0,ROUNDUP((AO$5-Plano!$K6)/Plano!$G6,0))&lt;=IF(DAY(AO$5)&gt;=29,EOMONTH(AO$5,0),AO$5+6),"●",""))</f>
        <v/>
      </c>
      <c r="AP9" s="53" t="str">
        <f ca="1">IF(OR(NOT(ISNUMBER(AP$5)),N(Plano!$G6)=0,N(Plano!$K6)=0),"",IF(Plano!$K6+Plano!$G6*MAX(0,ROUNDUP((AP$5-Plano!$K6)/Plano!$G6,0))&lt;=IF(DAY(AP$5)&gt;=29,EOMONTH(AP$5,0),AP$5+6),"●",""))</f>
        <v/>
      </c>
      <c r="AQ9" s="53" t="str">
        <f ca="1">IF(OR(NOT(ISNUMBER(AQ$5)),N(Plano!$G6)=0,N(Plano!$K6)=0),"",IF(Plano!$K6+Plano!$G6*MAX(0,ROUNDUP((AQ$5-Plano!$K6)/Plano!$G6,0))&lt;=IF(DAY(AQ$5)&gt;=29,EOMONTH(AQ$5,0),AQ$5+6),"●",""))</f>
        <v/>
      </c>
      <c r="AR9" s="53" t="str">
        <f ca="1">IF(OR(NOT(ISNUMBER(AR$5)),N(Plano!$G6)=0,N(Plano!$K6)=0),"",IF(Plano!$K6+Plano!$G6*MAX(0,ROUNDUP((AR$5-Plano!$K6)/Plano!$G6,0))&lt;=IF(DAY(AR$5)&gt;=29,EOMONTH(AR$5,0),AR$5+6),"●",""))</f>
        <v/>
      </c>
      <c r="AS9" s="53" t="str">
        <f ca="1">IF(OR(NOT(ISNUMBER(AS$5)),N(Plano!$G6)=0,N(Plano!$K6)=0),"",IF(Plano!$K6+Plano!$G6*MAX(0,ROUNDUP((AS$5-Plano!$K6)/Plano!$G6,0))&lt;=IF(DAY(AS$5)&gt;=29,EOMONTH(AS$5,0),AS$5+6),"●",""))</f>
        <v/>
      </c>
      <c r="AT9" s="54" t="str">
        <f ca="1">IF(OR(NOT(ISNUMBER(AT$5)),N(Plano!$G6)=0,N(Plano!$K6)=0),"",IF(Plano!$K6+Plano!$G6*MAX(0,ROUNDUP((AT$5-Plano!$K6)/Plano!$G6,0))&lt;=IF(DAY(AT$5)&gt;=29,EOMONTH(AT$5,0),AT$5+6),"●",""))</f>
        <v/>
      </c>
      <c r="AU9" s="53" t="str">
        <f ca="1">IF(OR(NOT(ISNUMBER(AU$5)),N(Plano!$G6)=0,N(Plano!$K6)=0),"",IF(Plano!$K6+Plano!$G6*MAX(0,ROUNDUP((AU$5-Plano!$K6)/Plano!$G6,0))&lt;=IF(DAY(AU$5)&gt;=29,EOMONTH(AU$5,0),AU$5+6),"●",""))</f>
        <v/>
      </c>
      <c r="AV9" s="53" t="str">
        <f ca="1">IF(OR(NOT(ISNUMBER(AV$5)),N(Plano!$G6)=0,N(Plano!$K6)=0),"",IF(Plano!$K6+Plano!$G6*MAX(0,ROUNDUP((AV$5-Plano!$K6)/Plano!$G6,0))&lt;=IF(DAY(AV$5)&gt;=29,EOMONTH(AV$5,0),AV$5+6),"●",""))</f>
        <v/>
      </c>
      <c r="AW9" s="53" t="str">
        <f ca="1">IF(OR(NOT(ISNUMBER(AW$5)),N(Plano!$G6)=0,N(Plano!$K6)=0),"",IF(Plano!$K6+Plano!$G6*MAX(0,ROUNDUP((AW$5-Plano!$K6)/Plano!$G6,0))&lt;=IF(DAY(AW$5)&gt;=29,EOMONTH(AW$5,0),AW$5+6),"●",""))</f>
        <v/>
      </c>
      <c r="AX9" s="53" t="str">
        <f ca="1">IF(OR(NOT(ISNUMBER(AX$5)),N(Plano!$G6)=0,N(Plano!$K6)=0),"",IF(Plano!$K6+Plano!$G6*MAX(0,ROUNDUP((AX$5-Plano!$K6)/Plano!$G6,0))&lt;=IF(DAY(AX$5)&gt;=29,EOMONTH(AX$5,0),AX$5+6),"●",""))</f>
        <v/>
      </c>
      <c r="AY9" s="54" t="str">
        <f ca="1">IF(OR(NOT(ISNUMBER(AY$5)),N(Plano!$G6)=0,N(Plano!$K6)=0),"",IF(Plano!$K6+Plano!$G6*MAX(0,ROUNDUP((AY$5-Plano!$K6)/Plano!$G6,0))&lt;=IF(DAY(AY$5)&gt;=29,EOMONTH(AY$5,0),AY$5+6),"●",""))</f>
        <v/>
      </c>
      <c r="AZ9" s="53" t="str">
        <f ca="1">IF(OR(NOT(ISNUMBER(AZ$5)),N(Plano!$G6)=0,N(Plano!$K6)=0),"",IF(Plano!$K6+Plano!$G6*MAX(0,ROUNDUP((AZ$5-Plano!$K6)/Plano!$G6,0))&lt;=IF(DAY(AZ$5)&gt;=29,EOMONTH(AZ$5,0),AZ$5+6),"●",""))</f>
        <v/>
      </c>
      <c r="BA9" s="53" t="str">
        <f ca="1">IF(OR(NOT(ISNUMBER(BA$5)),N(Plano!$G6)=0,N(Plano!$K6)=0),"",IF(Plano!$K6+Plano!$G6*MAX(0,ROUNDUP((BA$5-Plano!$K6)/Plano!$G6,0))&lt;=IF(DAY(BA$5)&gt;=29,EOMONTH(BA$5,0),BA$5+6),"●",""))</f>
        <v/>
      </c>
      <c r="BB9" s="53" t="str">
        <f ca="1">IF(OR(NOT(ISNUMBER(BB$5)),N(Plano!$G6)=0,N(Plano!$K6)=0),"",IF(Plano!$K6+Plano!$G6*MAX(0,ROUNDUP((BB$5-Plano!$K6)/Plano!$G6,0))&lt;=IF(DAY(BB$5)&gt;=29,EOMONTH(BB$5,0),BB$5+6),"●",""))</f>
        <v/>
      </c>
      <c r="BC9" s="53" t="str">
        <f ca="1">IF(OR(NOT(ISNUMBER(BC$5)),N(Plano!$G6)=0,N(Plano!$K6)=0),"",IF(Plano!$K6+Plano!$G6*MAX(0,ROUNDUP((BC$5-Plano!$K6)/Plano!$G6,0))&lt;=IF(DAY(BC$5)&gt;=29,EOMONTH(BC$5,0),BC$5+6),"●",""))</f>
        <v/>
      </c>
      <c r="BD9" s="54" t="str">
        <f ca="1">IF(OR(NOT(ISNUMBER(BD$5)),N(Plano!$G6)=0,N(Plano!$K6)=0),"",IF(Plano!$K6+Plano!$G6*MAX(0,ROUNDUP((BD$5-Plano!$K6)/Plano!$G6,0))&lt;=IF(DAY(BD$5)&gt;=29,EOMONTH(BD$5,0),BD$5+6),"●",""))</f>
        <v/>
      </c>
      <c r="BE9" s="53" t="str">
        <f ca="1">IF(OR(NOT(ISNUMBER(BE$5)),N(Plano!$G6)=0,N(Plano!$K6)=0),"",IF(Plano!$K6+Plano!$G6*MAX(0,ROUNDUP((BE$5-Plano!$K6)/Plano!$G6,0))&lt;=IF(DAY(BE$5)&gt;=29,EOMONTH(BE$5,0),BE$5+6),"●",""))</f>
        <v/>
      </c>
      <c r="BF9" s="53" t="str">
        <f ca="1">IF(OR(NOT(ISNUMBER(BF$5)),N(Plano!$G6)=0,N(Plano!$K6)=0),"",IF(Plano!$K6+Plano!$G6*MAX(0,ROUNDUP((BF$5-Plano!$K6)/Plano!$G6,0))&lt;=IF(DAY(BF$5)&gt;=29,EOMONTH(BF$5,0),BF$5+6),"●",""))</f>
        <v/>
      </c>
      <c r="BG9" s="53" t="str">
        <f ca="1">IF(OR(NOT(ISNUMBER(BG$5)),N(Plano!$G6)=0,N(Plano!$K6)=0),"",IF(Plano!$K6+Plano!$G6*MAX(0,ROUNDUP((BG$5-Plano!$K6)/Plano!$G6,0))&lt;=IF(DAY(BG$5)&gt;=29,EOMONTH(BG$5,0),BG$5+6),"●",""))</f>
        <v/>
      </c>
      <c r="BH9" s="53" t="str">
        <f ca="1">IF(OR(NOT(ISNUMBER(BH$5)),N(Plano!$G6)=0,N(Plano!$K6)=0),"",IF(Plano!$K6+Plano!$G6*MAX(0,ROUNDUP((BH$5-Plano!$K6)/Plano!$G6,0))&lt;=IF(DAY(BH$5)&gt;=29,EOMONTH(BH$5,0),BH$5+6),"●",""))</f>
        <v/>
      </c>
      <c r="BI9" s="54" t="str">
        <f ca="1">IF(OR(NOT(ISNUMBER(BI$5)),N(Plano!$G6)=0,N(Plano!$K6)=0),"",IF(Plano!$K6+Plano!$G6*MAX(0,ROUNDUP((BI$5-Plano!$K6)/Plano!$G6,0))&lt;=IF(DAY(BI$5)&gt;=29,EOMONTH(BI$5,0),BI$5+6),"●",""))</f>
        <v/>
      </c>
      <c r="BJ9" s="53" t="str">
        <f ca="1">IF(OR(NOT(ISNUMBER(BJ$5)),N(Plano!$G6)=0,N(Plano!$K6)=0),"",IF(Plano!$K6+Plano!$G6*MAX(0,ROUNDUP((BJ$5-Plano!$K6)/Plano!$G6,0))&lt;=IF(DAY(BJ$5)&gt;=29,EOMONTH(BJ$5,0),BJ$5+6),"●",""))</f>
        <v/>
      </c>
      <c r="BK9" s="53" t="str">
        <f ca="1">IF(OR(NOT(ISNUMBER(BK$5)),N(Plano!$G6)=0,N(Plano!$K6)=0),"",IF(Plano!$K6+Plano!$G6*MAX(0,ROUNDUP((BK$5-Plano!$K6)/Plano!$G6,0))&lt;=IF(DAY(BK$5)&gt;=29,EOMONTH(BK$5,0),BK$5+6),"●",""))</f>
        <v/>
      </c>
      <c r="BL9" s="53" t="str">
        <f ca="1">IF(OR(NOT(ISNUMBER(BL$5)),N(Plano!$G6)=0,N(Plano!$K6)=0),"",IF(Plano!$K6+Plano!$G6*MAX(0,ROUNDUP((BL$5-Plano!$K6)/Plano!$G6,0))&lt;=IF(DAY(BL$5)&gt;=29,EOMONTH(BL$5,0),BL$5+6),"●",""))</f>
        <v/>
      </c>
      <c r="BM9" s="55" t="str">
        <f ca="1">IF(OR(NOT(ISNUMBER(BM$5)),N(Plano!$G6)=0,N(Plano!$K6)=0),"",IF(Plano!$K6+Plano!$G6*MAX(0,ROUNDUP((BM$5-Plano!$K6)/Plano!$G6,0))&lt;=IF(DAY(BM$5)&gt;=29,EOMONTH(BM$5,0),BM$5+6),"●",""))</f>
        <v/>
      </c>
    </row>
    <row r="10" spans="1:65" ht="18" customHeight="1">
      <c r="A10" s="40">
        <f>Plano!A7</f>
        <v>3</v>
      </c>
      <c r="B10" s="51" t="str">
        <f>IF(Plano!B7="","",Plano!B7)</f>
        <v/>
      </c>
      <c r="C10" s="20" t="str">
        <f>IF(B10="","",IFERROR(INDEX(tb_pcm_ativos[descricao_ativo],MATCH(B10,tb_pcm_ativos[tag],0)),"fora do cadastro"))</f>
        <v/>
      </c>
      <c r="D10" s="20" t="str">
        <f>IF(Plano!E7="","",Plano!E7)</f>
        <v/>
      </c>
      <c r="E10" s="52" t="str">
        <f>IF(Plano!G7="","",Plano!G7)</f>
        <v/>
      </c>
      <c r="F10" s="53" t="str">
        <f ca="1">IF(OR(NOT(ISNUMBER(F$5)),N(Plano!$G7)=0,N(Plano!$K7)=0),"",IF(Plano!$K7+Plano!$G7*MAX(0,ROUNDUP((F$5-Plano!$K7)/Plano!$G7,0))&lt;=IF(DAY(F$5)&gt;=29,EOMONTH(F$5,0),F$5+6),"●",""))</f>
        <v/>
      </c>
      <c r="G10" s="53" t="str">
        <f ca="1">IF(OR(NOT(ISNUMBER(G$5)),N(Plano!$G7)=0,N(Plano!$K7)=0),"",IF(Plano!$K7+Plano!$G7*MAX(0,ROUNDUP((G$5-Plano!$K7)/Plano!$G7,0))&lt;=IF(DAY(G$5)&gt;=29,EOMONTH(G$5,0),G$5+6),"●",""))</f>
        <v/>
      </c>
      <c r="H10" s="53" t="str">
        <f ca="1">IF(OR(NOT(ISNUMBER(H$5)),N(Plano!$G7)=0,N(Plano!$K7)=0),"",IF(Plano!$K7+Plano!$G7*MAX(0,ROUNDUP((H$5-Plano!$K7)/Plano!$G7,0))&lt;=IF(DAY(H$5)&gt;=29,EOMONTH(H$5,0),H$5+6),"●",""))</f>
        <v/>
      </c>
      <c r="I10" s="53" t="str">
        <f ca="1">IF(OR(NOT(ISNUMBER(I$5)),N(Plano!$G7)=0,N(Plano!$K7)=0),"",IF(Plano!$K7+Plano!$G7*MAX(0,ROUNDUP((I$5-Plano!$K7)/Plano!$G7,0))&lt;=IF(DAY(I$5)&gt;=29,EOMONTH(I$5,0),I$5+6),"●",""))</f>
        <v/>
      </c>
      <c r="J10" s="53" t="str">
        <f ca="1">IF(OR(NOT(ISNUMBER(J$5)),N(Plano!$G7)=0,N(Plano!$K7)=0),"",IF(Plano!$K7+Plano!$G7*MAX(0,ROUNDUP((J$5-Plano!$K7)/Plano!$G7,0))&lt;=IF(DAY(J$5)&gt;=29,EOMONTH(J$5,0),J$5+6),"●",""))</f>
        <v/>
      </c>
      <c r="K10" s="54" t="str">
        <f ca="1">IF(OR(NOT(ISNUMBER(K$5)),N(Plano!$G7)=0,N(Plano!$K7)=0),"",IF(Plano!$K7+Plano!$G7*MAX(0,ROUNDUP((K$5-Plano!$K7)/Plano!$G7,0))&lt;=IF(DAY(K$5)&gt;=29,EOMONTH(K$5,0),K$5+6),"●",""))</f>
        <v/>
      </c>
      <c r="L10" s="53" t="str">
        <f ca="1">IF(OR(NOT(ISNUMBER(L$5)),N(Plano!$G7)=0,N(Plano!$K7)=0),"",IF(Plano!$K7+Plano!$G7*MAX(0,ROUNDUP((L$5-Plano!$K7)/Plano!$G7,0))&lt;=IF(DAY(L$5)&gt;=29,EOMONTH(L$5,0),L$5+6),"●",""))</f>
        <v/>
      </c>
      <c r="M10" s="53" t="str">
        <f ca="1">IF(OR(NOT(ISNUMBER(M$5)),N(Plano!$G7)=0,N(Plano!$K7)=0),"",IF(Plano!$K7+Plano!$G7*MAX(0,ROUNDUP((M$5-Plano!$K7)/Plano!$G7,0))&lt;=IF(DAY(M$5)&gt;=29,EOMONTH(M$5,0),M$5+6),"●",""))</f>
        <v/>
      </c>
      <c r="N10" s="53" t="str">
        <f ca="1">IF(OR(NOT(ISNUMBER(N$5)),N(Plano!$G7)=0,N(Plano!$K7)=0),"",IF(Plano!$K7+Plano!$G7*MAX(0,ROUNDUP((N$5-Plano!$K7)/Plano!$G7,0))&lt;=IF(DAY(N$5)&gt;=29,EOMONTH(N$5,0),N$5+6),"●",""))</f>
        <v/>
      </c>
      <c r="O10" s="53" t="str">
        <f ca="1">IF(OR(NOT(ISNUMBER(O$5)),N(Plano!$G7)=0,N(Plano!$K7)=0),"",IF(Plano!$K7+Plano!$G7*MAX(0,ROUNDUP((O$5-Plano!$K7)/Plano!$G7,0))&lt;=IF(DAY(O$5)&gt;=29,EOMONTH(O$5,0),O$5+6),"●",""))</f>
        <v/>
      </c>
      <c r="P10" s="54" t="str">
        <f ca="1">IF(OR(NOT(ISNUMBER(P$5)),N(Plano!$G7)=0,N(Plano!$K7)=0),"",IF(Plano!$K7+Plano!$G7*MAX(0,ROUNDUP((P$5-Plano!$K7)/Plano!$G7,0))&lt;=IF(DAY(P$5)&gt;=29,EOMONTH(P$5,0),P$5+6),"●",""))</f>
        <v/>
      </c>
      <c r="Q10" s="53" t="str">
        <f ca="1">IF(OR(NOT(ISNUMBER(Q$5)),N(Plano!$G7)=0,N(Plano!$K7)=0),"",IF(Plano!$K7+Plano!$G7*MAX(0,ROUNDUP((Q$5-Plano!$K7)/Plano!$G7,0))&lt;=IF(DAY(Q$5)&gt;=29,EOMONTH(Q$5,0),Q$5+6),"●",""))</f>
        <v/>
      </c>
      <c r="R10" s="53" t="str">
        <f ca="1">IF(OR(NOT(ISNUMBER(R$5)),N(Plano!$G7)=0,N(Plano!$K7)=0),"",IF(Plano!$K7+Plano!$G7*MAX(0,ROUNDUP((R$5-Plano!$K7)/Plano!$G7,0))&lt;=IF(DAY(R$5)&gt;=29,EOMONTH(R$5,0),R$5+6),"●",""))</f>
        <v/>
      </c>
      <c r="S10" s="53" t="str">
        <f ca="1">IF(OR(NOT(ISNUMBER(S$5)),N(Plano!$G7)=0,N(Plano!$K7)=0),"",IF(Plano!$K7+Plano!$G7*MAX(0,ROUNDUP((S$5-Plano!$K7)/Plano!$G7,0))&lt;=IF(DAY(S$5)&gt;=29,EOMONTH(S$5,0),S$5+6),"●",""))</f>
        <v/>
      </c>
      <c r="T10" s="53" t="str">
        <f ca="1">IF(OR(NOT(ISNUMBER(T$5)),N(Plano!$G7)=0,N(Plano!$K7)=0),"",IF(Plano!$K7+Plano!$G7*MAX(0,ROUNDUP((T$5-Plano!$K7)/Plano!$G7,0))&lt;=IF(DAY(T$5)&gt;=29,EOMONTH(T$5,0),T$5+6),"●",""))</f>
        <v/>
      </c>
      <c r="U10" s="54" t="str">
        <f ca="1">IF(OR(NOT(ISNUMBER(U$5)),N(Plano!$G7)=0,N(Plano!$K7)=0),"",IF(Plano!$K7+Plano!$G7*MAX(0,ROUNDUP((U$5-Plano!$K7)/Plano!$G7,0))&lt;=IF(DAY(U$5)&gt;=29,EOMONTH(U$5,0),U$5+6),"●",""))</f>
        <v/>
      </c>
      <c r="V10" s="53" t="str">
        <f ca="1">IF(OR(NOT(ISNUMBER(V$5)),N(Plano!$G7)=0,N(Plano!$K7)=0),"",IF(Plano!$K7+Plano!$G7*MAX(0,ROUNDUP((V$5-Plano!$K7)/Plano!$G7,0))&lt;=IF(DAY(V$5)&gt;=29,EOMONTH(V$5,0),V$5+6),"●",""))</f>
        <v/>
      </c>
      <c r="W10" s="53" t="str">
        <f ca="1">IF(OR(NOT(ISNUMBER(W$5)),N(Plano!$G7)=0,N(Plano!$K7)=0),"",IF(Plano!$K7+Plano!$G7*MAX(0,ROUNDUP((W$5-Plano!$K7)/Plano!$G7,0))&lt;=IF(DAY(W$5)&gt;=29,EOMONTH(W$5,0),W$5+6),"●",""))</f>
        <v/>
      </c>
      <c r="X10" s="53" t="str">
        <f ca="1">IF(OR(NOT(ISNUMBER(X$5)),N(Plano!$G7)=0,N(Plano!$K7)=0),"",IF(Plano!$K7+Plano!$G7*MAX(0,ROUNDUP((X$5-Plano!$K7)/Plano!$G7,0))&lt;=IF(DAY(X$5)&gt;=29,EOMONTH(X$5,0),X$5+6),"●",""))</f>
        <v/>
      </c>
      <c r="Y10" s="53" t="str">
        <f ca="1">IF(OR(NOT(ISNUMBER(Y$5)),N(Plano!$G7)=0,N(Plano!$K7)=0),"",IF(Plano!$K7+Plano!$G7*MAX(0,ROUNDUP((Y$5-Plano!$K7)/Plano!$G7,0))&lt;=IF(DAY(Y$5)&gt;=29,EOMONTH(Y$5,0),Y$5+6),"●",""))</f>
        <v/>
      </c>
      <c r="Z10" s="54" t="str">
        <f ca="1">IF(OR(NOT(ISNUMBER(Z$5)),N(Plano!$G7)=0,N(Plano!$K7)=0),"",IF(Plano!$K7+Plano!$G7*MAX(0,ROUNDUP((Z$5-Plano!$K7)/Plano!$G7,0))&lt;=IF(DAY(Z$5)&gt;=29,EOMONTH(Z$5,0),Z$5+6),"●",""))</f>
        <v/>
      </c>
      <c r="AA10" s="53" t="str">
        <f ca="1">IF(OR(NOT(ISNUMBER(AA$5)),N(Plano!$G7)=0,N(Plano!$K7)=0),"",IF(Plano!$K7+Plano!$G7*MAX(0,ROUNDUP((AA$5-Plano!$K7)/Plano!$G7,0))&lt;=IF(DAY(AA$5)&gt;=29,EOMONTH(AA$5,0),AA$5+6),"●",""))</f>
        <v/>
      </c>
      <c r="AB10" s="53" t="str">
        <f ca="1">IF(OR(NOT(ISNUMBER(AB$5)),N(Plano!$G7)=0,N(Plano!$K7)=0),"",IF(Plano!$K7+Plano!$G7*MAX(0,ROUNDUP((AB$5-Plano!$K7)/Plano!$G7,0))&lt;=IF(DAY(AB$5)&gt;=29,EOMONTH(AB$5,0),AB$5+6),"●",""))</f>
        <v/>
      </c>
      <c r="AC10" s="53" t="str">
        <f ca="1">IF(OR(NOT(ISNUMBER(AC$5)),N(Plano!$G7)=0,N(Plano!$K7)=0),"",IF(Plano!$K7+Plano!$G7*MAX(0,ROUNDUP((AC$5-Plano!$K7)/Plano!$G7,0))&lt;=IF(DAY(AC$5)&gt;=29,EOMONTH(AC$5,0),AC$5+6),"●",""))</f>
        <v/>
      </c>
      <c r="AD10" s="53" t="str">
        <f ca="1">IF(OR(NOT(ISNUMBER(AD$5)),N(Plano!$G7)=0,N(Plano!$K7)=0),"",IF(Plano!$K7+Plano!$G7*MAX(0,ROUNDUP((AD$5-Plano!$K7)/Plano!$G7,0))&lt;=IF(DAY(AD$5)&gt;=29,EOMONTH(AD$5,0),AD$5+6),"●",""))</f>
        <v/>
      </c>
      <c r="AE10" s="54" t="str">
        <f ca="1">IF(OR(NOT(ISNUMBER(AE$5)),N(Plano!$G7)=0,N(Plano!$K7)=0),"",IF(Plano!$K7+Plano!$G7*MAX(0,ROUNDUP((AE$5-Plano!$K7)/Plano!$G7,0))&lt;=IF(DAY(AE$5)&gt;=29,EOMONTH(AE$5,0),AE$5+6),"●",""))</f>
        <v/>
      </c>
      <c r="AF10" s="53" t="str">
        <f ca="1">IF(OR(NOT(ISNUMBER(AF$5)),N(Plano!$G7)=0,N(Plano!$K7)=0),"",IF(Plano!$K7+Plano!$G7*MAX(0,ROUNDUP((AF$5-Plano!$K7)/Plano!$G7,0))&lt;=IF(DAY(AF$5)&gt;=29,EOMONTH(AF$5,0),AF$5+6),"●",""))</f>
        <v/>
      </c>
      <c r="AG10" s="53" t="str">
        <f ca="1">IF(OR(NOT(ISNUMBER(AG$5)),N(Plano!$G7)=0,N(Plano!$K7)=0),"",IF(Plano!$K7+Plano!$G7*MAX(0,ROUNDUP((AG$5-Plano!$K7)/Plano!$G7,0))&lt;=IF(DAY(AG$5)&gt;=29,EOMONTH(AG$5,0),AG$5+6),"●",""))</f>
        <v/>
      </c>
      <c r="AH10" s="53" t="str">
        <f ca="1">IF(OR(NOT(ISNUMBER(AH$5)),N(Plano!$G7)=0,N(Plano!$K7)=0),"",IF(Plano!$K7+Plano!$G7*MAX(0,ROUNDUP((AH$5-Plano!$K7)/Plano!$G7,0))&lt;=IF(DAY(AH$5)&gt;=29,EOMONTH(AH$5,0),AH$5+6),"●",""))</f>
        <v/>
      </c>
      <c r="AI10" s="53" t="str">
        <f ca="1">IF(OR(NOT(ISNUMBER(AI$5)),N(Plano!$G7)=0,N(Plano!$K7)=0),"",IF(Plano!$K7+Plano!$G7*MAX(0,ROUNDUP((AI$5-Plano!$K7)/Plano!$G7,0))&lt;=IF(DAY(AI$5)&gt;=29,EOMONTH(AI$5,0),AI$5+6),"●",""))</f>
        <v/>
      </c>
      <c r="AJ10" s="54" t="str">
        <f ca="1">IF(OR(NOT(ISNUMBER(AJ$5)),N(Plano!$G7)=0,N(Plano!$K7)=0),"",IF(Plano!$K7+Plano!$G7*MAX(0,ROUNDUP((AJ$5-Plano!$K7)/Plano!$G7,0))&lt;=IF(DAY(AJ$5)&gt;=29,EOMONTH(AJ$5,0),AJ$5+6),"●",""))</f>
        <v/>
      </c>
      <c r="AK10" s="53" t="str">
        <f ca="1">IF(OR(NOT(ISNUMBER(AK$5)),N(Plano!$G7)=0,N(Plano!$K7)=0),"",IF(Plano!$K7+Plano!$G7*MAX(0,ROUNDUP((AK$5-Plano!$K7)/Plano!$G7,0))&lt;=IF(DAY(AK$5)&gt;=29,EOMONTH(AK$5,0),AK$5+6),"●",""))</f>
        <v/>
      </c>
      <c r="AL10" s="53" t="str">
        <f ca="1">IF(OR(NOT(ISNUMBER(AL$5)),N(Plano!$G7)=0,N(Plano!$K7)=0),"",IF(Plano!$K7+Plano!$G7*MAX(0,ROUNDUP((AL$5-Plano!$K7)/Plano!$G7,0))&lt;=IF(DAY(AL$5)&gt;=29,EOMONTH(AL$5,0),AL$5+6),"●",""))</f>
        <v/>
      </c>
      <c r="AM10" s="53" t="str">
        <f ca="1">IF(OR(NOT(ISNUMBER(AM$5)),N(Plano!$G7)=0,N(Plano!$K7)=0),"",IF(Plano!$K7+Plano!$G7*MAX(0,ROUNDUP((AM$5-Plano!$K7)/Plano!$G7,0))&lt;=IF(DAY(AM$5)&gt;=29,EOMONTH(AM$5,0),AM$5+6),"●",""))</f>
        <v/>
      </c>
      <c r="AN10" s="53" t="str">
        <f ca="1">IF(OR(NOT(ISNUMBER(AN$5)),N(Plano!$G7)=0,N(Plano!$K7)=0),"",IF(Plano!$K7+Plano!$G7*MAX(0,ROUNDUP((AN$5-Plano!$K7)/Plano!$G7,0))&lt;=IF(DAY(AN$5)&gt;=29,EOMONTH(AN$5,0),AN$5+6),"●",""))</f>
        <v/>
      </c>
      <c r="AO10" s="54" t="str">
        <f ca="1">IF(OR(NOT(ISNUMBER(AO$5)),N(Plano!$G7)=0,N(Plano!$K7)=0),"",IF(Plano!$K7+Plano!$G7*MAX(0,ROUNDUP((AO$5-Plano!$K7)/Plano!$G7,0))&lt;=IF(DAY(AO$5)&gt;=29,EOMONTH(AO$5,0),AO$5+6),"●",""))</f>
        <v/>
      </c>
      <c r="AP10" s="53" t="str">
        <f ca="1">IF(OR(NOT(ISNUMBER(AP$5)),N(Plano!$G7)=0,N(Plano!$K7)=0),"",IF(Plano!$K7+Plano!$G7*MAX(0,ROUNDUP((AP$5-Plano!$K7)/Plano!$G7,0))&lt;=IF(DAY(AP$5)&gt;=29,EOMONTH(AP$5,0),AP$5+6),"●",""))</f>
        <v/>
      </c>
      <c r="AQ10" s="53" t="str">
        <f ca="1">IF(OR(NOT(ISNUMBER(AQ$5)),N(Plano!$G7)=0,N(Plano!$K7)=0),"",IF(Plano!$K7+Plano!$G7*MAX(0,ROUNDUP((AQ$5-Plano!$K7)/Plano!$G7,0))&lt;=IF(DAY(AQ$5)&gt;=29,EOMONTH(AQ$5,0),AQ$5+6),"●",""))</f>
        <v/>
      </c>
      <c r="AR10" s="53" t="str">
        <f ca="1">IF(OR(NOT(ISNUMBER(AR$5)),N(Plano!$G7)=0,N(Plano!$K7)=0),"",IF(Plano!$K7+Plano!$G7*MAX(0,ROUNDUP((AR$5-Plano!$K7)/Plano!$G7,0))&lt;=IF(DAY(AR$5)&gt;=29,EOMONTH(AR$5,0),AR$5+6),"●",""))</f>
        <v/>
      </c>
      <c r="AS10" s="53" t="str">
        <f ca="1">IF(OR(NOT(ISNUMBER(AS$5)),N(Plano!$G7)=0,N(Plano!$K7)=0),"",IF(Plano!$K7+Plano!$G7*MAX(0,ROUNDUP((AS$5-Plano!$K7)/Plano!$G7,0))&lt;=IF(DAY(AS$5)&gt;=29,EOMONTH(AS$5,0),AS$5+6),"●",""))</f>
        <v/>
      </c>
      <c r="AT10" s="54" t="str">
        <f ca="1">IF(OR(NOT(ISNUMBER(AT$5)),N(Plano!$G7)=0,N(Plano!$K7)=0),"",IF(Plano!$K7+Plano!$G7*MAX(0,ROUNDUP((AT$5-Plano!$K7)/Plano!$G7,0))&lt;=IF(DAY(AT$5)&gt;=29,EOMONTH(AT$5,0),AT$5+6),"●",""))</f>
        <v/>
      </c>
      <c r="AU10" s="53" t="str">
        <f ca="1">IF(OR(NOT(ISNUMBER(AU$5)),N(Plano!$G7)=0,N(Plano!$K7)=0),"",IF(Plano!$K7+Plano!$G7*MAX(0,ROUNDUP((AU$5-Plano!$K7)/Plano!$G7,0))&lt;=IF(DAY(AU$5)&gt;=29,EOMONTH(AU$5,0),AU$5+6),"●",""))</f>
        <v/>
      </c>
      <c r="AV10" s="53" t="str">
        <f ca="1">IF(OR(NOT(ISNUMBER(AV$5)),N(Plano!$G7)=0,N(Plano!$K7)=0),"",IF(Plano!$K7+Plano!$G7*MAX(0,ROUNDUP((AV$5-Plano!$K7)/Plano!$G7,0))&lt;=IF(DAY(AV$5)&gt;=29,EOMONTH(AV$5,0),AV$5+6),"●",""))</f>
        <v/>
      </c>
      <c r="AW10" s="53" t="str">
        <f ca="1">IF(OR(NOT(ISNUMBER(AW$5)),N(Plano!$G7)=0,N(Plano!$K7)=0),"",IF(Plano!$K7+Plano!$G7*MAX(0,ROUNDUP((AW$5-Plano!$K7)/Plano!$G7,0))&lt;=IF(DAY(AW$5)&gt;=29,EOMONTH(AW$5,0),AW$5+6),"●",""))</f>
        <v/>
      </c>
      <c r="AX10" s="53" t="str">
        <f ca="1">IF(OR(NOT(ISNUMBER(AX$5)),N(Plano!$G7)=0,N(Plano!$K7)=0),"",IF(Plano!$K7+Plano!$G7*MAX(0,ROUNDUP((AX$5-Plano!$K7)/Plano!$G7,0))&lt;=IF(DAY(AX$5)&gt;=29,EOMONTH(AX$5,0),AX$5+6),"●",""))</f>
        <v/>
      </c>
      <c r="AY10" s="54" t="str">
        <f ca="1">IF(OR(NOT(ISNUMBER(AY$5)),N(Plano!$G7)=0,N(Plano!$K7)=0),"",IF(Plano!$K7+Plano!$G7*MAX(0,ROUNDUP((AY$5-Plano!$K7)/Plano!$G7,0))&lt;=IF(DAY(AY$5)&gt;=29,EOMONTH(AY$5,0),AY$5+6),"●",""))</f>
        <v/>
      </c>
      <c r="AZ10" s="53" t="str">
        <f ca="1">IF(OR(NOT(ISNUMBER(AZ$5)),N(Plano!$G7)=0,N(Plano!$K7)=0),"",IF(Plano!$K7+Plano!$G7*MAX(0,ROUNDUP((AZ$5-Plano!$K7)/Plano!$G7,0))&lt;=IF(DAY(AZ$5)&gt;=29,EOMONTH(AZ$5,0),AZ$5+6),"●",""))</f>
        <v/>
      </c>
      <c r="BA10" s="53" t="str">
        <f ca="1">IF(OR(NOT(ISNUMBER(BA$5)),N(Plano!$G7)=0,N(Plano!$K7)=0),"",IF(Plano!$K7+Plano!$G7*MAX(0,ROUNDUP((BA$5-Plano!$K7)/Plano!$G7,0))&lt;=IF(DAY(BA$5)&gt;=29,EOMONTH(BA$5,0),BA$5+6),"●",""))</f>
        <v/>
      </c>
      <c r="BB10" s="53" t="str">
        <f ca="1">IF(OR(NOT(ISNUMBER(BB$5)),N(Plano!$G7)=0,N(Plano!$K7)=0),"",IF(Plano!$K7+Plano!$G7*MAX(0,ROUNDUP((BB$5-Plano!$K7)/Plano!$G7,0))&lt;=IF(DAY(BB$5)&gt;=29,EOMONTH(BB$5,0),BB$5+6),"●",""))</f>
        <v/>
      </c>
      <c r="BC10" s="53" t="str">
        <f ca="1">IF(OR(NOT(ISNUMBER(BC$5)),N(Plano!$G7)=0,N(Plano!$K7)=0),"",IF(Plano!$K7+Plano!$G7*MAX(0,ROUNDUP((BC$5-Plano!$K7)/Plano!$G7,0))&lt;=IF(DAY(BC$5)&gt;=29,EOMONTH(BC$5,0),BC$5+6),"●",""))</f>
        <v/>
      </c>
      <c r="BD10" s="54" t="str">
        <f ca="1">IF(OR(NOT(ISNUMBER(BD$5)),N(Plano!$G7)=0,N(Plano!$K7)=0),"",IF(Plano!$K7+Plano!$G7*MAX(0,ROUNDUP((BD$5-Plano!$K7)/Plano!$G7,0))&lt;=IF(DAY(BD$5)&gt;=29,EOMONTH(BD$5,0),BD$5+6),"●",""))</f>
        <v/>
      </c>
      <c r="BE10" s="53" t="str">
        <f ca="1">IF(OR(NOT(ISNUMBER(BE$5)),N(Plano!$G7)=0,N(Plano!$K7)=0),"",IF(Plano!$K7+Plano!$G7*MAX(0,ROUNDUP((BE$5-Plano!$K7)/Plano!$G7,0))&lt;=IF(DAY(BE$5)&gt;=29,EOMONTH(BE$5,0),BE$5+6),"●",""))</f>
        <v/>
      </c>
      <c r="BF10" s="53" t="str">
        <f ca="1">IF(OR(NOT(ISNUMBER(BF$5)),N(Plano!$G7)=0,N(Plano!$K7)=0),"",IF(Plano!$K7+Plano!$G7*MAX(0,ROUNDUP((BF$5-Plano!$K7)/Plano!$G7,0))&lt;=IF(DAY(BF$5)&gt;=29,EOMONTH(BF$5,0),BF$5+6),"●",""))</f>
        <v/>
      </c>
      <c r="BG10" s="53" t="str">
        <f ca="1">IF(OR(NOT(ISNUMBER(BG$5)),N(Plano!$G7)=0,N(Plano!$K7)=0),"",IF(Plano!$K7+Plano!$G7*MAX(0,ROUNDUP((BG$5-Plano!$K7)/Plano!$G7,0))&lt;=IF(DAY(BG$5)&gt;=29,EOMONTH(BG$5,0),BG$5+6),"●",""))</f>
        <v/>
      </c>
      <c r="BH10" s="53" t="str">
        <f ca="1">IF(OR(NOT(ISNUMBER(BH$5)),N(Plano!$G7)=0,N(Plano!$K7)=0),"",IF(Plano!$K7+Plano!$G7*MAX(0,ROUNDUP((BH$5-Plano!$K7)/Plano!$G7,0))&lt;=IF(DAY(BH$5)&gt;=29,EOMONTH(BH$5,0),BH$5+6),"●",""))</f>
        <v/>
      </c>
      <c r="BI10" s="54" t="str">
        <f ca="1">IF(OR(NOT(ISNUMBER(BI$5)),N(Plano!$G7)=0,N(Plano!$K7)=0),"",IF(Plano!$K7+Plano!$G7*MAX(0,ROUNDUP((BI$5-Plano!$K7)/Plano!$G7,0))&lt;=IF(DAY(BI$5)&gt;=29,EOMONTH(BI$5,0),BI$5+6),"●",""))</f>
        <v/>
      </c>
      <c r="BJ10" s="53" t="str">
        <f ca="1">IF(OR(NOT(ISNUMBER(BJ$5)),N(Plano!$G7)=0,N(Plano!$K7)=0),"",IF(Plano!$K7+Plano!$G7*MAX(0,ROUNDUP((BJ$5-Plano!$K7)/Plano!$G7,0))&lt;=IF(DAY(BJ$5)&gt;=29,EOMONTH(BJ$5,0),BJ$5+6),"●",""))</f>
        <v/>
      </c>
      <c r="BK10" s="53" t="str">
        <f ca="1">IF(OR(NOT(ISNUMBER(BK$5)),N(Plano!$G7)=0,N(Plano!$K7)=0),"",IF(Plano!$K7+Plano!$G7*MAX(0,ROUNDUP((BK$5-Plano!$K7)/Plano!$G7,0))&lt;=IF(DAY(BK$5)&gt;=29,EOMONTH(BK$5,0),BK$5+6),"●",""))</f>
        <v/>
      </c>
      <c r="BL10" s="53" t="str">
        <f ca="1">IF(OR(NOT(ISNUMBER(BL$5)),N(Plano!$G7)=0,N(Plano!$K7)=0),"",IF(Plano!$K7+Plano!$G7*MAX(0,ROUNDUP((BL$5-Plano!$K7)/Plano!$G7,0))&lt;=IF(DAY(BL$5)&gt;=29,EOMONTH(BL$5,0),BL$5+6),"●",""))</f>
        <v/>
      </c>
      <c r="BM10" s="55" t="str">
        <f ca="1">IF(OR(NOT(ISNUMBER(BM$5)),N(Plano!$G7)=0,N(Plano!$K7)=0),"",IF(Plano!$K7+Plano!$G7*MAX(0,ROUNDUP((BM$5-Plano!$K7)/Plano!$G7,0))&lt;=IF(DAY(BM$5)&gt;=29,EOMONTH(BM$5,0),BM$5+6),"●",""))</f>
        <v/>
      </c>
    </row>
    <row r="11" spans="1:65" ht="18" customHeight="1">
      <c r="A11" s="40">
        <f>Plano!A8</f>
        <v>4</v>
      </c>
      <c r="B11" s="51" t="str">
        <f>IF(Plano!B8="","",Plano!B8)</f>
        <v/>
      </c>
      <c r="C11" s="20" t="str">
        <f>IF(B11="","",IFERROR(INDEX(tb_pcm_ativos[descricao_ativo],MATCH(B11,tb_pcm_ativos[tag],0)),"fora do cadastro"))</f>
        <v/>
      </c>
      <c r="D11" s="20" t="str">
        <f>IF(Plano!E8="","",Plano!E8)</f>
        <v/>
      </c>
      <c r="E11" s="52" t="str">
        <f>IF(Plano!G8="","",Plano!G8)</f>
        <v/>
      </c>
      <c r="F11" s="53" t="str">
        <f ca="1">IF(OR(NOT(ISNUMBER(F$5)),N(Plano!$G8)=0,N(Plano!$K8)=0),"",IF(Plano!$K8+Plano!$G8*MAX(0,ROUNDUP((F$5-Plano!$K8)/Plano!$G8,0))&lt;=IF(DAY(F$5)&gt;=29,EOMONTH(F$5,0),F$5+6),"●",""))</f>
        <v/>
      </c>
      <c r="G11" s="53" t="str">
        <f ca="1">IF(OR(NOT(ISNUMBER(G$5)),N(Plano!$G8)=0,N(Plano!$K8)=0),"",IF(Plano!$K8+Plano!$G8*MAX(0,ROUNDUP((G$5-Plano!$K8)/Plano!$G8,0))&lt;=IF(DAY(G$5)&gt;=29,EOMONTH(G$5,0),G$5+6),"●",""))</f>
        <v/>
      </c>
      <c r="H11" s="53" t="str">
        <f ca="1">IF(OR(NOT(ISNUMBER(H$5)),N(Plano!$G8)=0,N(Plano!$K8)=0),"",IF(Plano!$K8+Plano!$G8*MAX(0,ROUNDUP((H$5-Plano!$K8)/Plano!$G8,0))&lt;=IF(DAY(H$5)&gt;=29,EOMONTH(H$5,0),H$5+6),"●",""))</f>
        <v/>
      </c>
      <c r="I11" s="53" t="str">
        <f ca="1">IF(OR(NOT(ISNUMBER(I$5)),N(Plano!$G8)=0,N(Plano!$K8)=0),"",IF(Plano!$K8+Plano!$G8*MAX(0,ROUNDUP((I$5-Plano!$K8)/Plano!$G8,0))&lt;=IF(DAY(I$5)&gt;=29,EOMONTH(I$5,0),I$5+6),"●",""))</f>
        <v/>
      </c>
      <c r="J11" s="53" t="str">
        <f ca="1">IF(OR(NOT(ISNUMBER(J$5)),N(Plano!$G8)=0,N(Plano!$K8)=0),"",IF(Plano!$K8+Plano!$G8*MAX(0,ROUNDUP((J$5-Plano!$K8)/Plano!$G8,0))&lt;=IF(DAY(J$5)&gt;=29,EOMONTH(J$5,0),J$5+6),"●",""))</f>
        <v/>
      </c>
      <c r="K11" s="54" t="str">
        <f ca="1">IF(OR(NOT(ISNUMBER(K$5)),N(Plano!$G8)=0,N(Plano!$K8)=0),"",IF(Plano!$K8+Plano!$G8*MAX(0,ROUNDUP((K$5-Plano!$K8)/Plano!$G8,0))&lt;=IF(DAY(K$5)&gt;=29,EOMONTH(K$5,0),K$5+6),"●",""))</f>
        <v/>
      </c>
      <c r="L11" s="53" t="str">
        <f ca="1">IF(OR(NOT(ISNUMBER(L$5)),N(Plano!$G8)=0,N(Plano!$K8)=0),"",IF(Plano!$K8+Plano!$G8*MAX(0,ROUNDUP((L$5-Plano!$K8)/Plano!$G8,0))&lt;=IF(DAY(L$5)&gt;=29,EOMONTH(L$5,0),L$5+6),"●",""))</f>
        <v/>
      </c>
      <c r="M11" s="53" t="str">
        <f ca="1">IF(OR(NOT(ISNUMBER(M$5)),N(Plano!$G8)=0,N(Plano!$K8)=0),"",IF(Plano!$K8+Plano!$G8*MAX(0,ROUNDUP((M$5-Plano!$K8)/Plano!$G8,0))&lt;=IF(DAY(M$5)&gt;=29,EOMONTH(M$5,0),M$5+6),"●",""))</f>
        <v/>
      </c>
      <c r="N11" s="53" t="str">
        <f ca="1">IF(OR(NOT(ISNUMBER(N$5)),N(Plano!$G8)=0,N(Plano!$K8)=0),"",IF(Plano!$K8+Plano!$G8*MAX(0,ROUNDUP((N$5-Plano!$K8)/Plano!$G8,0))&lt;=IF(DAY(N$5)&gt;=29,EOMONTH(N$5,0),N$5+6),"●",""))</f>
        <v/>
      </c>
      <c r="O11" s="53" t="str">
        <f ca="1">IF(OR(NOT(ISNUMBER(O$5)),N(Plano!$G8)=0,N(Plano!$K8)=0),"",IF(Plano!$K8+Plano!$G8*MAX(0,ROUNDUP((O$5-Plano!$K8)/Plano!$G8,0))&lt;=IF(DAY(O$5)&gt;=29,EOMONTH(O$5,0),O$5+6),"●",""))</f>
        <v/>
      </c>
      <c r="P11" s="54" t="str">
        <f ca="1">IF(OR(NOT(ISNUMBER(P$5)),N(Plano!$G8)=0,N(Plano!$K8)=0),"",IF(Plano!$K8+Plano!$G8*MAX(0,ROUNDUP((P$5-Plano!$K8)/Plano!$G8,0))&lt;=IF(DAY(P$5)&gt;=29,EOMONTH(P$5,0),P$5+6),"●",""))</f>
        <v/>
      </c>
      <c r="Q11" s="53" t="str">
        <f ca="1">IF(OR(NOT(ISNUMBER(Q$5)),N(Plano!$G8)=0,N(Plano!$K8)=0),"",IF(Plano!$K8+Plano!$G8*MAX(0,ROUNDUP((Q$5-Plano!$K8)/Plano!$G8,0))&lt;=IF(DAY(Q$5)&gt;=29,EOMONTH(Q$5,0),Q$5+6),"●",""))</f>
        <v/>
      </c>
      <c r="R11" s="53" t="str">
        <f ca="1">IF(OR(NOT(ISNUMBER(R$5)),N(Plano!$G8)=0,N(Plano!$K8)=0),"",IF(Plano!$K8+Plano!$G8*MAX(0,ROUNDUP((R$5-Plano!$K8)/Plano!$G8,0))&lt;=IF(DAY(R$5)&gt;=29,EOMONTH(R$5,0),R$5+6),"●",""))</f>
        <v/>
      </c>
      <c r="S11" s="53" t="str">
        <f ca="1">IF(OR(NOT(ISNUMBER(S$5)),N(Plano!$G8)=0,N(Plano!$K8)=0),"",IF(Plano!$K8+Plano!$G8*MAX(0,ROUNDUP((S$5-Plano!$K8)/Plano!$G8,0))&lt;=IF(DAY(S$5)&gt;=29,EOMONTH(S$5,0),S$5+6),"●",""))</f>
        <v/>
      </c>
      <c r="T11" s="53" t="str">
        <f ca="1">IF(OR(NOT(ISNUMBER(T$5)),N(Plano!$G8)=0,N(Plano!$K8)=0),"",IF(Plano!$K8+Plano!$G8*MAX(0,ROUNDUP((T$5-Plano!$K8)/Plano!$G8,0))&lt;=IF(DAY(T$5)&gt;=29,EOMONTH(T$5,0),T$5+6),"●",""))</f>
        <v/>
      </c>
      <c r="U11" s="54" t="str">
        <f ca="1">IF(OR(NOT(ISNUMBER(U$5)),N(Plano!$G8)=0,N(Plano!$K8)=0),"",IF(Plano!$K8+Plano!$G8*MAX(0,ROUNDUP((U$5-Plano!$K8)/Plano!$G8,0))&lt;=IF(DAY(U$5)&gt;=29,EOMONTH(U$5,0),U$5+6),"●",""))</f>
        <v/>
      </c>
      <c r="V11" s="53" t="str">
        <f ca="1">IF(OR(NOT(ISNUMBER(V$5)),N(Plano!$G8)=0,N(Plano!$K8)=0),"",IF(Plano!$K8+Plano!$G8*MAX(0,ROUNDUP((V$5-Plano!$K8)/Plano!$G8,0))&lt;=IF(DAY(V$5)&gt;=29,EOMONTH(V$5,0),V$5+6),"●",""))</f>
        <v/>
      </c>
      <c r="W11" s="53" t="str">
        <f ca="1">IF(OR(NOT(ISNUMBER(W$5)),N(Plano!$G8)=0,N(Plano!$K8)=0),"",IF(Plano!$K8+Plano!$G8*MAX(0,ROUNDUP((W$5-Plano!$K8)/Plano!$G8,0))&lt;=IF(DAY(W$5)&gt;=29,EOMONTH(W$5,0),W$5+6),"●",""))</f>
        <v/>
      </c>
      <c r="X11" s="53" t="str">
        <f ca="1">IF(OR(NOT(ISNUMBER(X$5)),N(Plano!$G8)=0,N(Plano!$K8)=0),"",IF(Plano!$K8+Plano!$G8*MAX(0,ROUNDUP((X$5-Plano!$K8)/Plano!$G8,0))&lt;=IF(DAY(X$5)&gt;=29,EOMONTH(X$5,0),X$5+6),"●",""))</f>
        <v/>
      </c>
      <c r="Y11" s="53" t="str">
        <f ca="1">IF(OR(NOT(ISNUMBER(Y$5)),N(Plano!$G8)=0,N(Plano!$K8)=0),"",IF(Plano!$K8+Plano!$G8*MAX(0,ROUNDUP((Y$5-Plano!$K8)/Plano!$G8,0))&lt;=IF(DAY(Y$5)&gt;=29,EOMONTH(Y$5,0),Y$5+6),"●",""))</f>
        <v/>
      </c>
      <c r="Z11" s="54" t="str">
        <f ca="1">IF(OR(NOT(ISNUMBER(Z$5)),N(Plano!$G8)=0,N(Plano!$K8)=0),"",IF(Plano!$K8+Plano!$G8*MAX(0,ROUNDUP((Z$5-Plano!$K8)/Plano!$G8,0))&lt;=IF(DAY(Z$5)&gt;=29,EOMONTH(Z$5,0),Z$5+6),"●",""))</f>
        <v/>
      </c>
      <c r="AA11" s="53" t="str">
        <f ca="1">IF(OR(NOT(ISNUMBER(AA$5)),N(Plano!$G8)=0,N(Plano!$K8)=0),"",IF(Plano!$K8+Plano!$G8*MAX(0,ROUNDUP((AA$5-Plano!$K8)/Plano!$G8,0))&lt;=IF(DAY(AA$5)&gt;=29,EOMONTH(AA$5,0),AA$5+6),"●",""))</f>
        <v/>
      </c>
      <c r="AB11" s="53" t="str">
        <f ca="1">IF(OR(NOT(ISNUMBER(AB$5)),N(Plano!$G8)=0,N(Plano!$K8)=0),"",IF(Plano!$K8+Plano!$G8*MAX(0,ROUNDUP((AB$5-Plano!$K8)/Plano!$G8,0))&lt;=IF(DAY(AB$5)&gt;=29,EOMONTH(AB$5,0),AB$5+6),"●",""))</f>
        <v/>
      </c>
      <c r="AC11" s="53" t="str">
        <f ca="1">IF(OR(NOT(ISNUMBER(AC$5)),N(Plano!$G8)=0,N(Plano!$K8)=0),"",IF(Plano!$K8+Plano!$G8*MAX(0,ROUNDUP((AC$5-Plano!$K8)/Plano!$G8,0))&lt;=IF(DAY(AC$5)&gt;=29,EOMONTH(AC$5,0),AC$5+6),"●",""))</f>
        <v/>
      </c>
      <c r="AD11" s="53" t="str">
        <f ca="1">IF(OR(NOT(ISNUMBER(AD$5)),N(Plano!$G8)=0,N(Plano!$K8)=0),"",IF(Plano!$K8+Plano!$G8*MAX(0,ROUNDUP((AD$5-Plano!$K8)/Plano!$G8,0))&lt;=IF(DAY(AD$5)&gt;=29,EOMONTH(AD$5,0),AD$5+6),"●",""))</f>
        <v/>
      </c>
      <c r="AE11" s="54" t="str">
        <f ca="1">IF(OR(NOT(ISNUMBER(AE$5)),N(Plano!$G8)=0,N(Plano!$K8)=0),"",IF(Plano!$K8+Plano!$G8*MAX(0,ROUNDUP((AE$5-Plano!$K8)/Plano!$G8,0))&lt;=IF(DAY(AE$5)&gt;=29,EOMONTH(AE$5,0),AE$5+6),"●",""))</f>
        <v/>
      </c>
      <c r="AF11" s="53" t="str">
        <f ca="1">IF(OR(NOT(ISNUMBER(AF$5)),N(Plano!$G8)=0,N(Plano!$K8)=0),"",IF(Plano!$K8+Plano!$G8*MAX(0,ROUNDUP((AF$5-Plano!$K8)/Plano!$G8,0))&lt;=IF(DAY(AF$5)&gt;=29,EOMONTH(AF$5,0),AF$5+6),"●",""))</f>
        <v/>
      </c>
      <c r="AG11" s="53" t="str">
        <f ca="1">IF(OR(NOT(ISNUMBER(AG$5)),N(Plano!$G8)=0,N(Plano!$K8)=0),"",IF(Plano!$K8+Plano!$G8*MAX(0,ROUNDUP((AG$5-Plano!$K8)/Plano!$G8,0))&lt;=IF(DAY(AG$5)&gt;=29,EOMONTH(AG$5,0),AG$5+6),"●",""))</f>
        <v/>
      </c>
      <c r="AH11" s="53" t="str">
        <f ca="1">IF(OR(NOT(ISNUMBER(AH$5)),N(Plano!$G8)=0,N(Plano!$K8)=0),"",IF(Plano!$K8+Plano!$G8*MAX(0,ROUNDUP((AH$5-Plano!$K8)/Plano!$G8,0))&lt;=IF(DAY(AH$5)&gt;=29,EOMONTH(AH$5,0),AH$5+6),"●",""))</f>
        <v/>
      </c>
      <c r="AI11" s="53" t="str">
        <f ca="1">IF(OR(NOT(ISNUMBER(AI$5)),N(Plano!$G8)=0,N(Plano!$K8)=0),"",IF(Plano!$K8+Plano!$G8*MAX(0,ROUNDUP((AI$5-Plano!$K8)/Plano!$G8,0))&lt;=IF(DAY(AI$5)&gt;=29,EOMONTH(AI$5,0),AI$5+6),"●",""))</f>
        <v/>
      </c>
      <c r="AJ11" s="54" t="str">
        <f ca="1">IF(OR(NOT(ISNUMBER(AJ$5)),N(Plano!$G8)=0,N(Plano!$K8)=0),"",IF(Plano!$K8+Plano!$G8*MAX(0,ROUNDUP((AJ$5-Plano!$K8)/Plano!$G8,0))&lt;=IF(DAY(AJ$5)&gt;=29,EOMONTH(AJ$5,0),AJ$5+6),"●",""))</f>
        <v/>
      </c>
      <c r="AK11" s="53" t="str">
        <f ca="1">IF(OR(NOT(ISNUMBER(AK$5)),N(Plano!$G8)=0,N(Plano!$K8)=0),"",IF(Plano!$K8+Plano!$G8*MAX(0,ROUNDUP((AK$5-Plano!$K8)/Plano!$G8,0))&lt;=IF(DAY(AK$5)&gt;=29,EOMONTH(AK$5,0),AK$5+6),"●",""))</f>
        <v/>
      </c>
      <c r="AL11" s="53" t="str">
        <f ca="1">IF(OR(NOT(ISNUMBER(AL$5)),N(Plano!$G8)=0,N(Plano!$K8)=0),"",IF(Plano!$K8+Plano!$G8*MAX(0,ROUNDUP((AL$5-Plano!$K8)/Plano!$G8,0))&lt;=IF(DAY(AL$5)&gt;=29,EOMONTH(AL$5,0),AL$5+6),"●",""))</f>
        <v/>
      </c>
      <c r="AM11" s="53" t="str">
        <f ca="1">IF(OR(NOT(ISNUMBER(AM$5)),N(Plano!$G8)=0,N(Plano!$K8)=0),"",IF(Plano!$K8+Plano!$G8*MAX(0,ROUNDUP((AM$5-Plano!$K8)/Plano!$G8,0))&lt;=IF(DAY(AM$5)&gt;=29,EOMONTH(AM$5,0),AM$5+6),"●",""))</f>
        <v/>
      </c>
      <c r="AN11" s="53" t="str">
        <f ca="1">IF(OR(NOT(ISNUMBER(AN$5)),N(Plano!$G8)=0,N(Plano!$K8)=0),"",IF(Plano!$K8+Plano!$G8*MAX(0,ROUNDUP((AN$5-Plano!$K8)/Plano!$G8,0))&lt;=IF(DAY(AN$5)&gt;=29,EOMONTH(AN$5,0),AN$5+6),"●",""))</f>
        <v/>
      </c>
      <c r="AO11" s="54" t="str">
        <f ca="1">IF(OR(NOT(ISNUMBER(AO$5)),N(Plano!$G8)=0,N(Plano!$K8)=0),"",IF(Plano!$K8+Plano!$G8*MAX(0,ROUNDUP((AO$5-Plano!$K8)/Plano!$G8,0))&lt;=IF(DAY(AO$5)&gt;=29,EOMONTH(AO$5,0),AO$5+6),"●",""))</f>
        <v/>
      </c>
      <c r="AP11" s="53" t="str">
        <f ca="1">IF(OR(NOT(ISNUMBER(AP$5)),N(Plano!$G8)=0,N(Plano!$K8)=0),"",IF(Plano!$K8+Plano!$G8*MAX(0,ROUNDUP((AP$5-Plano!$K8)/Plano!$G8,0))&lt;=IF(DAY(AP$5)&gt;=29,EOMONTH(AP$5,0),AP$5+6),"●",""))</f>
        <v/>
      </c>
      <c r="AQ11" s="53" t="str">
        <f ca="1">IF(OR(NOT(ISNUMBER(AQ$5)),N(Plano!$G8)=0,N(Plano!$K8)=0),"",IF(Plano!$K8+Plano!$G8*MAX(0,ROUNDUP((AQ$5-Plano!$K8)/Plano!$G8,0))&lt;=IF(DAY(AQ$5)&gt;=29,EOMONTH(AQ$5,0),AQ$5+6),"●",""))</f>
        <v/>
      </c>
      <c r="AR11" s="53" t="str">
        <f ca="1">IF(OR(NOT(ISNUMBER(AR$5)),N(Plano!$G8)=0,N(Plano!$K8)=0),"",IF(Plano!$K8+Plano!$G8*MAX(0,ROUNDUP((AR$5-Plano!$K8)/Plano!$G8,0))&lt;=IF(DAY(AR$5)&gt;=29,EOMONTH(AR$5,0),AR$5+6),"●",""))</f>
        <v/>
      </c>
      <c r="AS11" s="53" t="str">
        <f ca="1">IF(OR(NOT(ISNUMBER(AS$5)),N(Plano!$G8)=0,N(Plano!$K8)=0),"",IF(Plano!$K8+Plano!$G8*MAX(0,ROUNDUP((AS$5-Plano!$K8)/Plano!$G8,0))&lt;=IF(DAY(AS$5)&gt;=29,EOMONTH(AS$5,0),AS$5+6),"●",""))</f>
        <v/>
      </c>
      <c r="AT11" s="54" t="str">
        <f ca="1">IF(OR(NOT(ISNUMBER(AT$5)),N(Plano!$G8)=0,N(Plano!$K8)=0),"",IF(Plano!$K8+Plano!$G8*MAX(0,ROUNDUP((AT$5-Plano!$K8)/Plano!$G8,0))&lt;=IF(DAY(AT$5)&gt;=29,EOMONTH(AT$5,0),AT$5+6),"●",""))</f>
        <v/>
      </c>
      <c r="AU11" s="53" t="str">
        <f ca="1">IF(OR(NOT(ISNUMBER(AU$5)),N(Plano!$G8)=0,N(Plano!$K8)=0),"",IF(Plano!$K8+Plano!$G8*MAX(0,ROUNDUP((AU$5-Plano!$K8)/Plano!$G8,0))&lt;=IF(DAY(AU$5)&gt;=29,EOMONTH(AU$5,0),AU$5+6),"●",""))</f>
        <v/>
      </c>
      <c r="AV11" s="53" t="str">
        <f ca="1">IF(OR(NOT(ISNUMBER(AV$5)),N(Plano!$G8)=0,N(Plano!$K8)=0),"",IF(Plano!$K8+Plano!$G8*MAX(0,ROUNDUP((AV$5-Plano!$K8)/Plano!$G8,0))&lt;=IF(DAY(AV$5)&gt;=29,EOMONTH(AV$5,0),AV$5+6),"●",""))</f>
        <v/>
      </c>
      <c r="AW11" s="53" t="str">
        <f ca="1">IF(OR(NOT(ISNUMBER(AW$5)),N(Plano!$G8)=0,N(Plano!$K8)=0),"",IF(Plano!$K8+Plano!$G8*MAX(0,ROUNDUP((AW$5-Plano!$K8)/Plano!$G8,0))&lt;=IF(DAY(AW$5)&gt;=29,EOMONTH(AW$5,0),AW$5+6),"●",""))</f>
        <v/>
      </c>
      <c r="AX11" s="53" t="str">
        <f ca="1">IF(OR(NOT(ISNUMBER(AX$5)),N(Plano!$G8)=0,N(Plano!$K8)=0),"",IF(Plano!$K8+Plano!$G8*MAX(0,ROUNDUP((AX$5-Plano!$K8)/Plano!$G8,0))&lt;=IF(DAY(AX$5)&gt;=29,EOMONTH(AX$5,0),AX$5+6),"●",""))</f>
        <v/>
      </c>
      <c r="AY11" s="54" t="str">
        <f ca="1">IF(OR(NOT(ISNUMBER(AY$5)),N(Plano!$G8)=0,N(Plano!$K8)=0),"",IF(Plano!$K8+Plano!$G8*MAX(0,ROUNDUP((AY$5-Plano!$K8)/Plano!$G8,0))&lt;=IF(DAY(AY$5)&gt;=29,EOMONTH(AY$5,0),AY$5+6),"●",""))</f>
        <v/>
      </c>
      <c r="AZ11" s="53" t="str">
        <f ca="1">IF(OR(NOT(ISNUMBER(AZ$5)),N(Plano!$G8)=0,N(Plano!$K8)=0),"",IF(Plano!$K8+Plano!$G8*MAX(0,ROUNDUP((AZ$5-Plano!$K8)/Plano!$G8,0))&lt;=IF(DAY(AZ$5)&gt;=29,EOMONTH(AZ$5,0),AZ$5+6),"●",""))</f>
        <v/>
      </c>
      <c r="BA11" s="53" t="str">
        <f ca="1">IF(OR(NOT(ISNUMBER(BA$5)),N(Plano!$G8)=0,N(Plano!$K8)=0),"",IF(Plano!$K8+Plano!$G8*MAX(0,ROUNDUP((BA$5-Plano!$K8)/Plano!$G8,0))&lt;=IF(DAY(BA$5)&gt;=29,EOMONTH(BA$5,0),BA$5+6),"●",""))</f>
        <v/>
      </c>
      <c r="BB11" s="53" t="str">
        <f ca="1">IF(OR(NOT(ISNUMBER(BB$5)),N(Plano!$G8)=0,N(Plano!$K8)=0),"",IF(Plano!$K8+Plano!$G8*MAX(0,ROUNDUP((BB$5-Plano!$K8)/Plano!$G8,0))&lt;=IF(DAY(BB$5)&gt;=29,EOMONTH(BB$5,0),BB$5+6),"●",""))</f>
        <v/>
      </c>
      <c r="BC11" s="53" t="str">
        <f ca="1">IF(OR(NOT(ISNUMBER(BC$5)),N(Plano!$G8)=0,N(Plano!$K8)=0),"",IF(Plano!$K8+Plano!$G8*MAX(0,ROUNDUP((BC$5-Plano!$K8)/Plano!$G8,0))&lt;=IF(DAY(BC$5)&gt;=29,EOMONTH(BC$5,0),BC$5+6),"●",""))</f>
        <v/>
      </c>
      <c r="BD11" s="54" t="str">
        <f ca="1">IF(OR(NOT(ISNUMBER(BD$5)),N(Plano!$G8)=0,N(Plano!$K8)=0),"",IF(Plano!$K8+Plano!$G8*MAX(0,ROUNDUP((BD$5-Plano!$K8)/Plano!$G8,0))&lt;=IF(DAY(BD$5)&gt;=29,EOMONTH(BD$5,0),BD$5+6),"●",""))</f>
        <v/>
      </c>
      <c r="BE11" s="53" t="str">
        <f ca="1">IF(OR(NOT(ISNUMBER(BE$5)),N(Plano!$G8)=0,N(Plano!$K8)=0),"",IF(Plano!$K8+Plano!$G8*MAX(0,ROUNDUP((BE$5-Plano!$K8)/Plano!$G8,0))&lt;=IF(DAY(BE$5)&gt;=29,EOMONTH(BE$5,0),BE$5+6),"●",""))</f>
        <v/>
      </c>
      <c r="BF11" s="53" t="str">
        <f ca="1">IF(OR(NOT(ISNUMBER(BF$5)),N(Plano!$G8)=0,N(Plano!$K8)=0),"",IF(Plano!$K8+Plano!$G8*MAX(0,ROUNDUP((BF$5-Plano!$K8)/Plano!$G8,0))&lt;=IF(DAY(BF$5)&gt;=29,EOMONTH(BF$5,0),BF$5+6),"●",""))</f>
        <v/>
      </c>
      <c r="BG11" s="53" t="str">
        <f ca="1">IF(OR(NOT(ISNUMBER(BG$5)),N(Plano!$G8)=0,N(Plano!$K8)=0),"",IF(Plano!$K8+Plano!$G8*MAX(0,ROUNDUP((BG$5-Plano!$K8)/Plano!$G8,0))&lt;=IF(DAY(BG$5)&gt;=29,EOMONTH(BG$5,0),BG$5+6),"●",""))</f>
        <v/>
      </c>
      <c r="BH11" s="53" t="str">
        <f ca="1">IF(OR(NOT(ISNUMBER(BH$5)),N(Plano!$G8)=0,N(Plano!$K8)=0),"",IF(Plano!$K8+Plano!$G8*MAX(0,ROUNDUP((BH$5-Plano!$K8)/Plano!$G8,0))&lt;=IF(DAY(BH$5)&gt;=29,EOMONTH(BH$5,0),BH$5+6),"●",""))</f>
        <v/>
      </c>
      <c r="BI11" s="54" t="str">
        <f ca="1">IF(OR(NOT(ISNUMBER(BI$5)),N(Plano!$G8)=0,N(Plano!$K8)=0),"",IF(Plano!$K8+Plano!$G8*MAX(0,ROUNDUP((BI$5-Plano!$K8)/Plano!$G8,0))&lt;=IF(DAY(BI$5)&gt;=29,EOMONTH(BI$5,0),BI$5+6),"●",""))</f>
        <v/>
      </c>
      <c r="BJ11" s="53" t="str">
        <f ca="1">IF(OR(NOT(ISNUMBER(BJ$5)),N(Plano!$G8)=0,N(Plano!$K8)=0),"",IF(Plano!$K8+Plano!$G8*MAX(0,ROUNDUP((BJ$5-Plano!$K8)/Plano!$G8,0))&lt;=IF(DAY(BJ$5)&gt;=29,EOMONTH(BJ$5,0),BJ$5+6),"●",""))</f>
        <v/>
      </c>
      <c r="BK11" s="53" t="str">
        <f ca="1">IF(OR(NOT(ISNUMBER(BK$5)),N(Plano!$G8)=0,N(Plano!$K8)=0),"",IF(Plano!$K8+Plano!$G8*MAX(0,ROUNDUP((BK$5-Plano!$K8)/Plano!$G8,0))&lt;=IF(DAY(BK$5)&gt;=29,EOMONTH(BK$5,0),BK$5+6),"●",""))</f>
        <v/>
      </c>
      <c r="BL11" s="53" t="str">
        <f ca="1">IF(OR(NOT(ISNUMBER(BL$5)),N(Plano!$G8)=0,N(Plano!$K8)=0),"",IF(Plano!$K8+Plano!$G8*MAX(0,ROUNDUP((BL$5-Plano!$K8)/Plano!$G8,0))&lt;=IF(DAY(BL$5)&gt;=29,EOMONTH(BL$5,0),BL$5+6),"●",""))</f>
        <v/>
      </c>
      <c r="BM11" s="55" t="str">
        <f ca="1">IF(OR(NOT(ISNUMBER(BM$5)),N(Plano!$G8)=0,N(Plano!$K8)=0),"",IF(Plano!$K8+Plano!$G8*MAX(0,ROUNDUP((BM$5-Plano!$K8)/Plano!$G8,0))&lt;=IF(DAY(BM$5)&gt;=29,EOMONTH(BM$5,0),BM$5+6),"●",""))</f>
        <v/>
      </c>
    </row>
    <row r="12" spans="1:65" ht="18" customHeight="1">
      <c r="A12" s="40">
        <f>Plano!A9</f>
        <v>5</v>
      </c>
      <c r="B12" s="51" t="str">
        <f>IF(Plano!B9="","",Plano!B9)</f>
        <v/>
      </c>
      <c r="C12" s="20" t="str">
        <f>IF(B12="","",IFERROR(INDEX(tb_pcm_ativos[descricao_ativo],MATCH(B12,tb_pcm_ativos[tag],0)),"fora do cadastro"))</f>
        <v/>
      </c>
      <c r="D12" s="20" t="str">
        <f>IF(Plano!E9="","",Plano!E9)</f>
        <v/>
      </c>
      <c r="E12" s="52" t="str">
        <f>IF(Plano!G9="","",Plano!G9)</f>
        <v/>
      </c>
      <c r="F12" s="53" t="str">
        <f ca="1">IF(OR(NOT(ISNUMBER(F$5)),N(Plano!$G9)=0,N(Plano!$K9)=0),"",IF(Plano!$K9+Plano!$G9*MAX(0,ROUNDUP((F$5-Plano!$K9)/Plano!$G9,0))&lt;=IF(DAY(F$5)&gt;=29,EOMONTH(F$5,0),F$5+6),"●",""))</f>
        <v/>
      </c>
      <c r="G12" s="53" t="str">
        <f ca="1">IF(OR(NOT(ISNUMBER(G$5)),N(Plano!$G9)=0,N(Plano!$K9)=0),"",IF(Plano!$K9+Plano!$G9*MAX(0,ROUNDUP((G$5-Plano!$K9)/Plano!$G9,0))&lt;=IF(DAY(G$5)&gt;=29,EOMONTH(G$5,0),G$5+6),"●",""))</f>
        <v/>
      </c>
      <c r="H12" s="53" t="str">
        <f ca="1">IF(OR(NOT(ISNUMBER(H$5)),N(Plano!$G9)=0,N(Plano!$K9)=0),"",IF(Plano!$K9+Plano!$G9*MAX(0,ROUNDUP((H$5-Plano!$K9)/Plano!$G9,0))&lt;=IF(DAY(H$5)&gt;=29,EOMONTH(H$5,0),H$5+6),"●",""))</f>
        <v/>
      </c>
      <c r="I12" s="53" t="str">
        <f ca="1">IF(OR(NOT(ISNUMBER(I$5)),N(Plano!$G9)=0,N(Plano!$K9)=0),"",IF(Plano!$K9+Plano!$G9*MAX(0,ROUNDUP((I$5-Plano!$K9)/Plano!$G9,0))&lt;=IF(DAY(I$5)&gt;=29,EOMONTH(I$5,0),I$5+6),"●",""))</f>
        <v/>
      </c>
      <c r="J12" s="53" t="str">
        <f ca="1">IF(OR(NOT(ISNUMBER(J$5)),N(Plano!$G9)=0,N(Plano!$K9)=0),"",IF(Plano!$K9+Plano!$G9*MAX(0,ROUNDUP((J$5-Plano!$K9)/Plano!$G9,0))&lt;=IF(DAY(J$5)&gt;=29,EOMONTH(J$5,0),J$5+6),"●",""))</f>
        <v/>
      </c>
      <c r="K12" s="54" t="str">
        <f ca="1">IF(OR(NOT(ISNUMBER(K$5)),N(Plano!$G9)=0,N(Plano!$K9)=0),"",IF(Plano!$K9+Plano!$G9*MAX(0,ROUNDUP((K$5-Plano!$K9)/Plano!$G9,0))&lt;=IF(DAY(K$5)&gt;=29,EOMONTH(K$5,0),K$5+6),"●",""))</f>
        <v/>
      </c>
      <c r="L12" s="53" t="str">
        <f ca="1">IF(OR(NOT(ISNUMBER(L$5)),N(Plano!$G9)=0,N(Plano!$K9)=0),"",IF(Plano!$K9+Plano!$G9*MAX(0,ROUNDUP((L$5-Plano!$K9)/Plano!$G9,0))&lt;=IF(DAY(L$5)&gt;=29,EOMONTH(L$5,0),L$5+6),"●",""))</f>
        <v/>
      </c>
      <c r="M12" s="53" t="str">
        <f ca="1">IF(OR(NOT(ISNUMBER(M$5)),N(Plano!$G9)=0,N(Plano!$K9)=0),"",IF(Plano!$K9+Plano!$G9*MAX(0,ROUNDUP((M$5-Plano!$K9)/Plano!$G9,0))&lt;=IF(DAY(M$5)&gt;=29,EOMONTH(M$5,0),M$5+6),"●",""))</f>
        <v/>
      </c>
      <c r="N12" s="53" t="str">
        <f ca="1">IF(OR(NOT(ISNUMBER(N$5)),N(Plano!$G9)=0,N(Plano!$K9)=0),"",IF(Plano!$K9+Plano!$G9*MAX(0,ROUNDUP((N$5-Plano!$K9)/Plano!$G9,0))&lt;=IF(DAY(N$5)&gt;=29,EOMONTH(N$5,0),N$5+6),"●",""))</f>
        <v/>
      </c>
      <c r="O12" s="53" t="str">
        <f ca="1">IF(OR(NOT(ISNUMBER(O$5)),N(Plano!$G9)=0,N(Plano!$K9)=0),"",IF(Plano!$K9+Plano!$G9*MAX(0,ROUNDUP((O$5-Plano!$K9)/Plano!$G9,0))&lt;=IF(DAY(O$5)&gt;=29,EOMONTH(O$5,0),O$5+6),"●",""))</f>
        <v/>
      </c>
      <c r="P12" s="54" t="str">
        <f ca="1">IF(OR(NOT(ISNUMBER(P$5)),N(Plano!$G9)=0,N(Plano!$K9)=0),"",IF(Plano!$K9+Plano!$G9*MAX(0,ROUNDUP((P$5-Plano!$K9)/Plano!$G9,0))&lt;=IF(DAY(P$5)&gt;=29,EOMONTH(P$5,0),P$5+6),"●",""))</f>
        <v/>
      </c>
      <c r="Q12" s="53" t="str">
        <f ca="1">IF(OR(NOT(ISNUMBER(Q$5)),N(Plano!$G9)=0,N(Plano!$K9)=0),"",IF(Plano!$K9+Plano!$G9*MAX(0,ROUNDUP((Q$5-Plano!$K9)/Plano!$G9,0))&lt;=IF(DAY(Q$5)&gt;=29,EOMONTH(Q$5,0),Q$5+6),"●",""))</f>
        <v/>
      </c>
      <c r="R12" s="53" t="str">
        <f ca="1">IF(OR(NOT(ISNUMBER(R$5)),N(Plano!$G9)=0,N(Plano!$K9)=0),"",IF(Plano!$K9+Plano!$G9*MAX(0,ROUNDUP((R$5-Plano!$K9)/Plano!$G9,0))&lt;=IF(DAY(R$5)&gt;=29,EOMONTH(R$5,0),R$5+6),"●",""))</f>
        <v/>
      </c>
      <c r="S12" s="53" t="str">
        <f ca="1">IF(OR(NOT(ISNUMBER(S$5)),N(Plano!$G9)=0,N(Plano!$K9)=0),"",IF(Plano!$K9+Plano!$G9*MAX(0,ROUNDUP((S$5-Plano!$K9)/Plano!$G9,0))&lt;=IF(DAY(S$5)&gt;=29,EOMONTH(S$5,0),S$5+6),"●",""))</f>
        <v/>
      </c>
      <c r="T12" s="53" t="str">
        <f ca="1">IF(OR(NOT(ISNUMBER(T$5)),N(Plano!$G9)=0,N(Plano!$K9)=0),"",IF(Plano!$K9+Plano!$G9*MAX(0,ROUNDUP((T$5-Plano!$K9)/Plano!$G9,0))&lt;=IF(DAY(T$5)&gt;=29,EOMONTH(T$5,0),T$5+6),"●",""))</f>
        <v/>
      </c>
      <c r="U12" s="54" t="str">
        <f ca="1">IF(OR(NOT(ISNUMBER(U$5)),N(Plano!$G9)=0,N(Plano!$K9)=0),"",IF(Plano!$K9+Plano!$G9*MAX(0,ROUNDUP((U$5-Plano!$K9)/Plano!$G9,0))&lt;=IF(DAY(U$5)&gt;=29,EOMONTH(U$5,0),U$5+6),"●",""))</f>
        <v/>
      </c>
      <c r="V12" s="53" t="str">
        <f ca="1">IF(OR(NOT(ISNUMBER(V$5)),N(Plano!$G9)=0,N(Plano!$K9)=0),"",IF(Plano!$K9+Plano!$G9*MAX(0,ROUNDUP((V$5-Plano!$K9)/Plano!$G9,0))&lt;=IF(DAY(V$5)&gt;=29,EOMONTH(V$5,0),V$5+6),"●",""))</f>
        <v/>
      </c>
      <c r="W12" s="53" t="str">
        <f ca="1">IF(OR(NOT(ISNUMBER(W$5)),N(Plano!$G9)=0,N(Plano!$K9)=0),"",IF(Plano!$K9+Plano!$G9*MAX(0,ROUNDUP((W$5-Plano!$K9)/Plano!$G9,0))&lt;=IF(DAY(W$5)&gt;=29,EOMONTH(W$5,0),W$5+6),"●",""))</f>
        <v/>
      </c>
      <c r="X12" s="53" t="str">
        <f ca="1">IF(OR(NOT(ISNUMBER(X$5)),N(Plano!$G9)=0,N(Plano!$K9)=0),"",IF(Plano!$K9+Plano!$G9*MAX(0,ROUNDUP((X$5-Plano!$K9)/Plano!$G9,0))&lt;=IF(DAY(X$5)&gt;=29,EOMONTH(X$5,0),X$5+6),"●",""))</f>
        <v/>
      </c>
      <c r="Y12" s="53" t="str">
        <f ca="1">IF(OR(NOT(ISNUMBER(Y$5)),N(Plano!$G9)=0,N(Plano!$K9)=0),"",IF(Plano!$K9+Plano!$G9*MAX(0,ROUNDUP((Y$5-Plano!$K9)/Plano!$G9,0))&lt;=IF(DAY(Y$5)&gt;=29,EOMONTH(Y$5,0),Y$5+6),"●",""))</f>
        <v/>
      </c>
      <c r="Z12" s="54" t="str">
        <f ca="1">IF(OR(NOT(ISNUMBER(Z$5)),N(Plano!$G9)=0,N(Plano!$K9)=0),"",IF(Plano!$K9+Plano!$G9*MAX(0,ROUNDUP((Z$5-Plano!$K9)/Plano!$G9,0))&lt;=IF(DAY(Z$5)&gt;=29,EOMONTH(Z$5,0),Z$5+6),"●",""))</f>
        <v/>
      </c>
      <c r="AA12" s="53" t="str">
        <f ca="1">IF(OR(NOT(ISNUMBER(AA$5)),N(Plano!$G9)=0,N(Plano!$K9)=0),"",IF(Plano!$K9+Plano!$G9*MAX(0,ROUNDUP((AA$5-Plano!$K9)/Plano!$G9,0))&lt;=IF(DAY(AA$5)&gt;=29,EOMONTH(AA$5,0),AA$5+6),"●",""))</f>
        <v/>
      </c>
      <c r="AB12" s="53" t="str">
        <f ca="1">IF(OR(NOT(ISNUMBER(AB$5)),N(Plano!$G9)=0,N(Plano!$K9)=0),"",IF(Plano!$K9+Plano!$G9*MAX(0,ROUNDUP((AB$5-Plano!$K9)/Plano!$G9,0))&lt;=IF(DAY(AB$5)&gt;=29,EOMONTH(AB$5,0),AB$5+6),"●",""))</f>
        <v/>
      </c>
      <c r="AC12" s="53" t="str">
        <f ca="1">IF(OR(NOT(ISNUMBER(AC$5)),N(Plano!$G9)=0,N(Plano!$K9)=0),"",IF(Plano!$K9+Plano!$G9*MAX(0,ROUNDUP((AC$5-Plano!$K9)/Plano!$G9,0))&lt;=IF(DAY(AC$5)&gt;=29,EOMONTH(AC$5,0),AC$5+6),"●",""))</f>
        <v/>
      </c>
      <c r="AD12" s="53" t="str">
        <f ca="1">IF(OR(NOT(ISNUMBER(AD$5)),N(Plano!$G9)=0,N(Plano!$K9)=0),"",IF(Plano!$K9+Plano!$G9*MAX(0,ROUNDUP((AD$5-Plano!$K9)/Plano!$G9,0))&lt;=IF(DAY(AD$5)&gt;=29,EOMONTH(AD$5,0),AD$5+6),"●",""))</f>
        <v/>
      </c>
      <c r="AE12" s="54" t="str">
        <f ca="1">IF(OR(NOT(ISNUMBER(AE$5)),N(Plano!$G9)=0,N(Plano!$K9)=0),"",IF(Plano!$K9+Plano!$G9*MAX(0,ROUNDUP((AE$5-Plano!$K9)/Plano!$G9,0))&lt;=IF(DAY(AE$5)&gt;=29,EOMONTH(AE$5,0),AE$5+6),"●",""))</f>
        <v/>
      </c>
      <c r="AF12" s="53" t="str">
        <f ca="1">IF(OR(NOT(ISNUMBER(AF$5)),N(Plano!$G9)=0,N(Plano!$K9)=0),"",IF(Plano!$K9+Plano!$G9*MAX(0,ROUNDUP((AF$5-Plano!$K9)/Plano!$G9,0))&lt;=IF(DAY(AF$5)&gt;=29,EOMONTH(AF$5,0),AF$5+6),"●",""))</f>
        <v/>
      </c>
      <c r="AG12" s="53" t="str">
        <f ca="1">IF(OR(NOT(ISNUMBER(AG$5)),N(Plano!$G9)=0,N(Plano!$K9)=0),"",IF(Plano!$K9+Plano!$G9*MAX(0,ROUNDUP((AG$5-Plano!$K9)/Plano!$G9,0))&lt;=IF(DAY(AG$5)&gt;=29,EOMONTH(AG$5,0),AG$5+6),"●",""))</f>
        <v/>
      </c>
      <c r="AH12" s="53" t="str">
        <f ca="1">IF(OR(NOT(ISNUMBER(AH$5)),N(Plano!$G9)=0,N(Plano!$K9)=0),"",IF(Plano!$K9+Plano!$G9*MAX(0,ROUNDUP((AH$5-Plano!$K9)/Plano!$G9,0))&lt;=IF(DAY(AH$5)&gt;=29,EOMONTH(AH$5,0),AH$5+6),"●",""))</f>
        <v/>
      </c>
      <c r="AI12" s="53" t="str">
        <f ca="1">IF(OR(NOT(ISNUMBER(AI$5)),N(Plano!$G9)=0,N(Plano!$K9)=0),"",IF(Plano!$K9+Plano!$G9*MAX(0,ROUNDUP((AI$5-Plano!$K9)/Plano!$G9,0))&lt;=IF(DAY(AI$5)&gt;=29,EOMONTH(AI$5,0),AI$5+6),"●",""))</f>
        <v/>
      </c>
      <c r="AJ12" s="54" t="str">
        <f ca="1">IF(OR(NOT(ISNUMBER(AJ$5)),N(Plano!$G9)=0,N(Plano!$K9)=0),"",IF(Plano!$K9+Plano!$G9*MAX(0,ROUNDUP((AJ$5-Plano!$K9)/Plano!$G9,0))&lt;=IF(DAY(AJ$5)&gt;=29,EOMONTH(AJ$5,0),AJ$5+6),"●",""))</f>
        <v/>
      </c>
      <c r="AK12" s="53" t="str">
        <f ca="1">IF(OR(NOT(ISNUMBER(AK$5)),N(Plano!$G9)=0,N(Plano!$K9)=0),"",IF(Plano!$K9+Plano!$G9*MAX(0,ROUNDUP((AK$5-Plano!$K9)/Plano!$G9,0))&lt;=IF(DAY(AK$5)&gt;=29,EOMONTH(AK$5,0),AK$5+6),"●",""))</f>
        <v/>
      </c>
      <c r="AL12" s="53" t="str">
        <f ca="1">IF(OR(NOT(ISNUMBER(AL$5)),N(Plano!$G9)=0,N(Plano!$K9)=0),"",IF(Plano!$K9+Plano!$G9*MAX(0,ROUNDUP((AL$5-Plano!$K9)/Plano!$G9,0))&lt;=IF(DAY(AL$5)&gt;=29,EOMONTH(AL$5,0),AL$5+6),"●",""))</f>
        <v/>
      </c>
      <c r="AM12" s="53" t="str">
        <f ca="1">IF(OR(NOT(ISNUMBER(AM$5)),N(Plano!$G9)=0,N(Plano!$K9)=0),"",IF(Plano!$K9+Plano!$G9*MAX(0,ROUNDUP((AM$5-Plano!$K9)/Plano!$G9,0))&lt;=IF(DAY(AM$5)&gt;=29,EOMONTH(AM$5,0),AM$5+6),"●",""))</f>
        <v/>
      </c>
      <c r="AN12" s="53" t="str">
        <f ca="1">IF(OR(NOT(ISNUMBER(AN$5)),N(Plano!$G9)=0,N(Plano!$K9)=0),"",IF(Plano!$K9+Plano!$G9*MAX(0,ROUNDUP((AN$5-Plano!$K9)/Plano!$G9,0))&lt;=IF(DAY(AN$5)&gt;=29,EOMONTH(AN$5,0),AN$5+6),"●",""))</f>
        <v/>
      </c>
      <c r="AO12" s="54" t="str">
        <f ca="1">IF(OR(NOT(ISNUMBER(AO$5)),N(Plano!$G9)=0,N(Plano!$K9)=0),"",IF(Plano!$K9+Plano!$G9*MAX(0,ROUNDUP((AO$5-Plano!$K9)/Plano!$G9,0))&lt;=IF(DAY(AO$5)&gt;=29,EOMONTH(AO$5,0),AO$5+6),"●",""))</f>
        <v/>
      </c>
      <c r="AP12" s="53" t="str">
        <f ca="1">IF(OR(NOT(ISNUMBER(AP$5)),N(Plano!$G9)=0,N(Plano!$K9)=0),"",IF(Plano!$K9+Plano!$G9*MAX(0,ROUNDUP((AP$5-Plano!$K9)/Plano!$G9,0))&lt;=IF(DAY(AP$5)&gt;=29,EOMONTH(AP$5,0),AP$5+6),"●",""))</f>
        <v/>
      </c>
      <c r="AQ12" s="53" t="str">
        <f ca="1">IF(OR(NOT(ISNUMBER(AQ$5)),N(Plano!$G9)=0,N(Plano!$K9)=0),"",IF(Plano!$K9+Plano!$G9*MAX(0,ROUNDUP((AQ$5-Plano!$K9)/Plano!$G9,0))&lt;=IF(DAY(AQ$5)&gt;=29,EOMONTH(AQ$5,0),AQ$5+6),"●",""))</f>
        <v/>
      </c>
      <c r="AR12" s="53" t="str">
        <f ca="1">IF(OR(NOT(ISNUMBER(AR$5)),N(Plano!$G9)=0,N(Plano!$K9)=0),"",IF(Plano!$K9+Plano!$G9*MAX(0,ROUNDUP((AR$5-Plano!$K9)/Plano!$G9,0))&lt;=IF(DAY(AR$5)&gt;=29,EOMONTH(AR$5,0),AR$5+6),"●",""))</f>
        <v/>
      </c>
      <c r="AS12" s="53" t="str">
        <f ca="1">IF(OR(NOT(ISNUMBER(AS$5)),N(Plano!$G9)=0,N(Plano!$K9)=0),"",IF(Plano!$K9+Plano!$G9*MAX(0,ROUNDUP((AS$5-Plano!$K9)/Plano!$G9,0))&lt;=IF(DAY(AS$5)&gt;=29,EOMONTH(AS$5,0),AS$5+6),"●",""))</f>
        <v/>
      </c>
      <c r="AT12" s="54" t="str">
        <f ca="1">IF(OR(NOT(ISNUMBER(AT$5)),N(Plano!$G9)=0,N(Plano!$K9)=0),"",IF(Plano!$K9+Plano!$G9*MAX(0,ROUNDUP((AT$5-Plano!$K9)/Plano!$G9,0))&lt;=IF(DAY(AT$5)&gt;=29,EOMONTH(AT$5,0),AT$5+6),"●",""))</f>
        <v/>
      </c>
      <c r="AU12" s="53" t="str">
        <f ca="1">IF(OR(NOT(ISNUMBER(AU$5)),N(Plano!$G9)=0,N(Plano!$K9)=0),"",IF(Plano!$K9+Plano!$G9*MAX(0,ROUNDUP((AU$5-Plano!$K9)/Plano!$G9,0))&lt;=IF(DAY(AU$5)&gt;=29,EOMONTH(AU$5,0),AU$5+6),"●",""))</f>
        <v/>
      </c>
      <c r="AV12" s="53" t="str">
        <f ca="1">IF(OR(NOT(ISNUMBER(AV$5)),N(Plano!$G9)=0,N(Plano!$K9)=0),"",IF(Plano!$K9+Plano!$G9*MAX(0,ROUNDUP((AV$5-Plano!$K9)/Plano!$G9,0))&lt;=IF(DAY(AV$5)&gt;=29,EOMONTH(AV$5,0),AV$5+6),"●",""))</f>
        <v/>
      </c>
      <c r="AW12" s="53" t="str">
        <f ca="1">IF(OR(NOT(ISNUMBER(AW$5)),N(Plano!$G9)=0,N(Plano!$K9)=0),"",IF(Plano!$K9+Plano!$G9*MAX(0,ROUNDUP((AW$5-Plano!$K9)/Plano!$G9,0))&lt;=IF(DAY(AW$5)&gt;=29,EOMONTH(AW$5,0),AW$5+6),"●",""))</f>
        <v/>
      </c>
      <c r="AX12" s="53" t="str">
        <f ca="1">IF(OR(NOT(ISNUMBER(AX$5)),N(Plano!$G9)=0,N(Plano!$K9)=0),"",IF(Plano!$K9+Plano!$G9*MAX(0,ROUNDUP((AX$5-Plano!$K9)/Plano!$G9,0))&lt;=IF(DAY(AX$5)&gt;=29,EOMONTH(AX$5,0),AX$5+6),"●",""))</f>
        <v/>
      </c>
      <c r="AY12" s="54" t="str">
        <f ca="1">IF(OR(NOT(ISNUMBER(AY$5)),N(Plano!$G9)=0,N(Plano!$K9)=0),"",IF(Plano!$K9+Plano!$G9*MAX(0,ROUNDUP((AY$5-Plano!$K9)/Plano!$G9,0))&lt;=IF(DAY(AY$5)&gt;=29,EOMONTH(AY$5,0),AY$5+6),"●",""))</f>
        <v/>
      </c>
      <c r="AZ12" s="53" t="str">
        <f ca="1">IF(OR(NOT(ISNUMBER(AZ$5)),N(Plano!$G9)=0,N(Plano!$K9)=0),"",IF(Plano!$K9+Plano!$G9*MAX(0,ROUNDUP((AZ$5-Plano!$K9)/Plano!$G9,0))&lt;=IF(DAY(AZ$5)&gt;=29,EOMONTH(AZ$5,0),AZ$5+6),"●",""))</f>
        <v/>
      </c>
      <c r="BA12" s="53" t="str">
        <f ca="1">IF(OR(NOT(ISNUMBER(BA$5)),N(Plano!$G9)=0,N(Plano!$K9)=0),"",IF(Plano!$K9+Plano!$G9*MAX(0,ROUNDUP((BA$5-Plano!$K9)/Plano!$G9,0))&lt;=IF(DAY(BA$5)&gt;=29,EOMONTH(BA$5,0),BA$5+6),"●",""))</f>
        <v/>
      </c>
      <c r="BB12" s="53" t="str">
        <f ca="1">IF(OR(NOT(ISNUMBER(BB$5)),N(Plano!$G9)=0,N(Plano!$K9)=0),"",IF(Plano!$K9+Plano!$G9*MAX(0,ROUNDUP((BB$5-Plano!$K9)/Plano!$G9,0))&lt;=IF(DAY(BB$5)&gt;=29,EOMONTH(BB$5,0),BB$5+6),"●",""))</f>
        <v/>
      </c>
      <c r="BC12" s="53" t="str">
        <f ca="1">IF(OR(NOT(ISNUMBER(BC$5)),N(Plano!$G9)=0,N(Plano!$K9)=0),"",IF(Plano!$K9+Plano!$G9*MAX(0,ROUNDUP((BC$5-Plano!$K9)/Plano!$G9,0))&lt;=IF(DAY(BC$5)&gt;=29,EOMONTH(BC$5,0),BC$5+6),"●",""))</f>
        <v/>
      </c>
      <c r="BD12" s="54" t="str">
        <f ca="1">IF(OR(NOT(ISNUMBER(BD$5)),N(Plano!$G9)=0,N(Plano!$K9)=0),"",IF(Plano!$K9+Plano!$G9*MAX(0,ROUNDUP((BD$5-Plano!$K9)/Plano!$G9,0))&lt;=IF(DAY(BD$5)&gt;=29,EOMONTH(BD$5,0),BD$5+6),"●",""))</f>
        <v/>
      </c>
      <c r="BE12" s="53" t="str">
        <f ca="1">IF(OR(NOT(ISNUMBER(BE$5)),N(Plano!$G9)=0,N(Plano!$K9)=0),"",IF(Plano!$K9+Plano!$G9*MAX(0,ROUNDUP((BE$5-Plano!$K9)/Plano!$G9,0))&lt;=IF(DAY(BE$5)&gt;=29,EOMONTH(BE$5,0),BE$5+6),"●",""))</f>
        <v/>
      </c>
      <c r="BF12" s="53" t="str">
        <f ca="1">IF(OR(NOT(ISNUMBER(BF$5)),N(Plano!$G9)=0,N(Plano!$K9)=0),"",IF(Plano!$K9+Plano!$G9*MAX(0,ROUNDUP((BF$5-Plano!$K9)/Plano!$G9,0))&lt;=IF(DAY(BF$5)&gt;=29,EOMONTH(BF$5,0),BF$5+6),"●",""))</f>
        <v/>
      </c>
      <c r="BG12" s="53" t="str">
        <f ca="1">IF(OR(NOT(ISNUMBER(BG$5)),N(Plano!$G9)=0,N(Plano!$K9)=0),"",IF(Plano!$K9+Plano!$G9*MAX(0,ROUNDUP((BG$5-Plano!$K9)/Plano!$G9,0))&lt;=IF(DAY(BG$5)&gt;=29,EOMONTH(BG$5,0),BG$5+6),"●",""))</f>
        <v/>
      </c>
      <c r="BH12" s="53" t="str">
        <f ca="1">IF(OR(NOT(ISNUMBER(BH$5)),N(Plano!$G9)=0,N(Plano!$K9)=0),"",IF(Plano!$K9+Plano!$G9*MAX(0,ROUNDUP((BH$5-Plano!$K9)/Plano!$G9,0))&lt;=IF(DAY(BH$5)&gt;=29,EOMONTH(BH$5,0),BH$5+6),"●",""))</f>
        <v/>
      </c>
      <c r="BI12" s="54" t="str">
        <f ca="1">IF(OR(NOT(ISNUMBER(BI$5)),N(Plano!$G9)=0,N(Plano!$K9)=0),"",IF(Plano!$K9+Plano!$G9*MAX(0,ROUNDUP((BI$5-Plano!$K9)/Plano!$G9,0))&lt;=IF(DAY(BI$5)&gt;=29,EOMONTH(BI$5,0),BI$5+6),"●",""))</f>
        <v/>
      </c>
      <c r="BJ12" s="53" t="str">
        <f ca="1">IF(OR(NOT(ISNUMBER(BJ$5)),N(Plano!$G9)=0,N(Plano!$K9)=0),"",IF(Plano!$K9+Plano!$G9*MAX(0,ROUNDUP((BJ$5-Plano!$K9)/Plano!$G9,0))&lt;=IF(DAY(BJ$5)&gt;=29,EOMONTH(BJ$5,0),BJ$5+6),"●",""))</f>
        <v/>
      </c>
      <c r="BK12" s="53" t="str">
        <f ca="1">IF(OR(NOT(ISNUMBER(BK$5)),N(Plano!$G9)=0,N(Plano!$K9)=0),"",IF(Plano!$K9+Plano!$G9*MAX(0,ROUNDUP((BK$5-Plano!$K9)/Plano!$G9,0))&lt;=IF(DAY(BK$5)&gt;=29,EOMONTH(BK$5,0),BK$5+6),"●",""))</f>
        <v/>
      </c>
      <c r="BL12" s="53" t="str">
        <f ca="1">IF(OR(NOT(ISNUMBER(BL$5)),N(Plano!$G9)=0,N(Plano!$K9)=0),"",IF(Plano!$K9+Plano!$G9*MAX(0,ROUNDUP((BL$5-Plano!$K9)/Plano!$G9,0))&lt;=IF(DAY(BL$5)&gt;=29,EOMONTH(BL$5,0),BL$5+6),"●",""))</f>
        <v/>
      </c>
      <c r="BM12" s="55" t="str">
        <f ca="1">IF(OR(NOT(ISNUMBER(BM$5)),N(Plano!$G9)=0,N(Plano!$K9)=0),"",IF(Plano!$K9+Plano!$G9*MAX(0,ROUNDUP((BM$5-Plano!$K9)/Plano!$G9,0))&lt;=IF(DAY(BM$5)&gt;=29,EOMONTH(BM$5,0),BM$5+6),"●",""))</f>
        <v/>
      </c>
    </row>
    <row r="13" spans="1:65" ht="18" customHeight="1">
      <c r="A13" s="40">
        <f>Plano!A10</f>
        <v>6</v>
      </c>
      <c r="B13" s="51" t="str">
        <f>IF(Plano!B10="","",Plano!B10)</f>
        <v/>
      </c>
      <c r="C13" s="20" t="str">
        <f>IF(B13="","",IFERROR(INDEX(tb_pcm_ativos[descricao_ativo],MATCH(B13,tb_pcm_ativos[tag],0)),"fora do cadastro"))</f>
        <v/>
      </c>
      <c r="D13" s="20" t="str">
        <f>IF(Plano!E10="","",Plano!E10)</f>
        <v/>
      </c>
      <c r="E13" s="52" t="str">
        <f>IF(Plano!G10="","",Plano!G10)</f>
        <v/>
      </c>
      <c r="F13" s="53" t="str">
        <f ca="1">IF(OR(NOT(ISNUMBER(F$5)),N(Plano!$G10)=0,N(Plano!$K10)=0),"",IF(Plano!$K10+Plano!$G10*MAX(0,ROUNDUP((F$5-Plano!$K10)/Plano!$G10,0))&lt;=IF(DAY(F$5)&gt;=29,EOMONTH(F$5,0),F$5+6),"●",""))</f>
        <v/>
      </c>
      <c r="G13" s="53" t="str">
        <f ca="1">IF(OR(NOT(ISNUMBER(G$5)),N(Plano!$G10)=0,N(Plano!$K10)=0),"",IF(Plano!$K10+Plano!$G10*MAX(0,ROUNDUP((G$5-Plano!$K10)/Plano!$G10,0))&lt;=IF(DAY(G$5)&gt;=29,EOMONTH(G$5,0),G$5+6),"●",""))</f>
        <v/>
      </c>
      <c r="H13" s="53" t="str">
        <f ca="1">IF(OR(NOT(ISNUMBER(H$5)),N(Plano!$G10)=0,N(Plano!$K10)=0),"",IF(Plano!$K10+Plano!$G10*MAX(0,ROUNDUP((H$5-Plano!$K10)/Plano!$G10,0))&lt;=IF(DAY(H$5)&gt;=29,EOMONTH(H$5,0),H$5+6),"●",""))</f>
        <v/>
      </c>
      <c r="I13" s="53" t="str">
        <f ca="1">IF(OR(NOT(ISNUMBER(I$5)),N(Plano!$G10)=0,N(Plano!$K10)=0),"",IF(Plano!$K10+Plano!$G10*MAX(0,ROUNDUP((I$5-Plano!$K10)/Plano!$G10,0))&lt;=IF(DAY(I$5)&gt;=29,EOMONTH(I$5,0),I$5+6),"●",""))</f>
        <v/>
      </c>
      <c r="J13" s="53" t="str">
        <f ca="1">IF(OR(NOT(ISNUMBER(J$5)),N(Plano!$G10)=0,N(Plano!$K10)=0),"",IF(Plano!$K10+Plano!$G10*MAX(0,ROUNDUP((J$5-Plano!$K10)/Plano!$G10,0))&lt;=IF(DAY(J$5)&gt;=29,EOMONTH(J$5,0),J$5+6),"●",""))</f>
        <v/>
      </c>
      <c r="K13" s="54" t="str">
        <f ca="1">IF(OR(NOT(ISNUMBER(K$5)),N(Plano!$G10)=0,N(Plano!$K10)=0),"",IF(Plano!$K10+Plano!$G10*MAX(0,ROUNDUP((K$5-Plano!$K10)/Plano!$G10,0))&lt;=IF(DAY(K$5)&gt;=29,EOMONTH(K$5,0),K$5+6),"●",""))</f>
        <v/>
      </c>
      <c r="L13" s="53" t="str">
        <f ca="1">IF(OR(NOT(ISNUMBER(L$5)),N(Plano!$G10)=0,N(Plano!$K10)=0),"",IF(Plano!$K10+Plano!$G10*MAX(0,ROUNDUP((L$5-Plano!$K10)/Plano!$G10,0))&lt;=IF(DAY(L$5)&gt;=29,EOMONTH(L$5,0),L$5+6),"●",""))</f>
        <v/>
      </c>
      <c r="M13" s="53" t="str">
        <f ca="1">IF(OR(NOT(ISNUMBER(M$5)),N(Plano!$G10)=0,N(Plano!$K10)=0),"",IF(Plano!$K10+Plano!$G10*MAX(0,ROUNDUP((M$5-Plano!$K10)/Plano!$G10,0))&lt;=IF(DAY(M$5)&gt;=29,EOMONTH(M$5,0),M$5+6),"●",""))</f>
        <v/>
      </c>
      <c r="N13" s="53" t="str">
        <f ca="1">IF(OR(NOT(ISNUMBER(N$5)),N(Plano!$G10)=0,N(Plano!$K10)=0),"",IF(Plano!$K10+Plano!$G10*MAX(0,ROUNDUP((N$5-Plano!$K10)/Plano!$G10,0))&lt;=IF(DAY(N$5)&gt;=29,EOMONTH(N$5,0),N$5+6),"●",""))</f>
        <v/>
      </c>
      <c r="O13" s="53" t="str">
        <f ca="1">IF(OR(NOT(ISNUMBER(O$5)),N(Plano!$G10)=0,N(Plano!$K10)=0),"",IF(Plano!$K10+Plano!$G10*MAX(0,ROUNDUP((O$5-Plano!$K10)/Plano!$G10,0))&lt;=IF(DAY(O$5)&gt;=29,EOMONTH(O$5,0),O$5+6),"●",""))</f>
        <v/>
      </c>
      <c r="P13" s="54" t="str">
        <f ca="1">IF(OR(NOT(ISNUMBER(P$5)),N(Plano!$G10)=0,N(Plano!$K10)=0),"",IF(Plano!$K10+Plano!$G10*MAX(0,ROUNDUP((P$5-Plano!$K10)/Plano!$G10,0))&lt;=IF(DAY(P$5)&gt;=29,EOMONTH(P$5,0),P$5+6),"●",""))</f>
        <v/>
      </c>
      <c r="Q13" s="53" t="str">
        <f ca="1">IF(OR(NOT(ISNUMBER(Q$5)),N(Plano!$G10)=0,N(Plano!$K10)=0),"",IF(Plano!$K10+Plano!$G10*MAX(0,ROUNDUP((Q$5-Plano!$K10)/Plano!$G10,0))&lt;=IF(DAY(Q$5)&gt;=29,EOMONTH(Q$5,0),Q$5+6),"●",""))</f>
        <v/>
      </c>
      <c r="R13" s="53" t="str">
        <f ca="1">IF(OR(NOT(ISNUMBER(R$5)),N(Plano!$G10)=0,N(Plano!$K10)=0),"",IF(Plano!$K10+Plano!$G10*MAX(0,ROUNDUP((R$5-Plano!$K10)/Plano!$G10,0))&lt;=IF(DAY(R$5)&gt;=29,EOMONTH(R$5,0),R$5+6),"●",""))</f>
        <v/>
      </c>
      <c r="S13" s="53" t="str">
        <f ca="1">IF(OR(NOT(ISNUMBER(S$5)),N(Plano!$G10)=0,N(Plano!$K10)=0),"",IF(Plano!$K10+Plano!$G10*MAX(0,ROUNDUP((S$5-Plano!$K10)/Plano!$G10,0))&lt;=IF(DAY(S$5)&gt;=29,EOMONTH(S$5,0),S$5+6),"●",""))</f>
        <v/>
      </c>
      <c r="T13" s="53" t="str">
        <f ca="1">IF(OR(NOT(ISNUMBER(T$5)),N(Plano!$G10)=0,N(Plano!$K10)=0),"",IF(Plano!$K10+Plano!$G10*MAX(0,ROUNDUP((T$5-Plano!$K10)/Plano!$G10,0))&lt;=IF(DAY(T$5)&gt;=29,EOMONTH(T$5,0),T$5+6),"●",""))</f>
        <v/>
      </c>
      <c r="U13" s="54" t="str">
        <f ca="1">IF(OR(NOT(ISNUMBER(U$5)),N(Plano!$G10)=0,N(Plano!$K10)=0),"",IF(Plano!$K10+Plano!$G10*MAX(0,ROUNDUP((U$5-Plano!$K10)/Plano!$G10,0))&lt;=IF(DAY(U$5)&gt;=29,EOMONTH(U$5,0),U$5+6),"●",""))</f>
        <v/>
      </c>
      <c r="V13" s="53" t="str">
        <f ca="1">IF(OR(NOT(ISNUMBER(V$5)),N(Plano!$G10)=0,N(Plano!$K10)=0),"",IF(Plano!$K10+Plano!$G10*MAX(0,ROUNDUP((V$5-Plano!$K10)/Plano!$G10,0))&lt;=IF(DAY(V$5)&gt;=29,EOMONTH(V$5,0),V$5+6),"●",""))</f>
        <v/>
      </c>
      <c r="W13" s="53" t="str">
        <f ca="1">IF(OR(NOT(ISNUMBER(W$5)),N(Plano!$G10)=0,N(Plano!$K10)=0),"",IF(Plano!$K10+Plano!$G10*MAX(0,ROUNDUP((W$5-Plano!$K10)/Plano!$G10,0))&lt;=IF(DAY(W$5)&gt;=29,EOMONTH(W$5,0),W$5+6),"●",""))</f>
        <v/>
      </c>
      <c r="X13" s="53" t="str">
        <f ca="1">IF(OR(NOT(ISNUMBER(X$5)),N(Plano!$G10)=0,N(Plano!$K10)=0),"",IF(Plano!$K10+Plano!$G10*MAX(0,ROUNDUP((X$5-Plano!$K10)/Plano!$G10,0))&lt;=IF(DAY(X$5)&gt;=29,EOMONTH(X$5,0),X$5+6),"●",""))</f>
        <v/>
      </c>
      <c r="Y13" s="53" t="str">
        <f ca="1">IF(OR(NOT(ISNUMBER(Y$5)),N(Plano!$G10)=0,N(Plano!$K10)=0),"",IF(Plano!$K10+Plano!$G10*MAX(0,ROUNDUP((Y$5-Plano!$K10)/Plano!$G10,0))&lt;=IF(DAY(Y$5)&gt;=29,EOMONTH(Y$5,0),Y$5+6),"●",""))</f>
        <v/>
      </c>
      <c r="Z13" s="54" t="str">
        <f ca="1">IF(OR(NOT(ISNUMBER(Z$5)),N(Plano!$G10)=0,N(Plano!$K10)=0),"",IF(Plano!$K10+Plano!$G10*MAX(0,ROUNDUP((Z$5-Plano!$K10)/Plano!$G10,0))&lt;=IF(DAY(Z$5)&gt;=29,EOMONTH(Z$5,0),Z$5+6),"●",""))</f>
        <v/>
      </c>
      <c r="AA13" s="53" t="str">
        <f ca="1">IF(OR(NOT(ISNUMBER(AA$5)),N(Plano!$G10)=0,N(Plano!$K10)=0),"",IF(Plano!$K10+Plano!$G10*MAX(0,ROUNDUP((AA$5-Plano!$K10)/Plano!$G10,0))&lt;=IF(DAY(AA$5)&gt;=29,EOMONTH(AA$5,0),AA$5+6),"●",""))</f>
        <v/>
      </c>
      <c r="AB13" s="53" t="str">
        <f ca="1">IF(OR(NOT(ISNUMBER(AB$5)),N(Plano!$G10)=0,N(Plano!$K10)=0),"",IF(Plano!$K10+Plano!$G10*MAX(0,ROUNDUP((AB$5-Plano!$K10)/Plano!$G10,0))&lt;=IF(DAY(AB$5)&gt;=29,EOMONTH(AB$5,0),AB$5+6),"●",""))</f>
        <v/>
      </c>
      <c r="AC13" s="53" t="str">
        <f ca="1">IF(OR(NOT(ISNUMBER(AC$5)),N(Plano!$G10)=0,N(Plano!$K10)=0),"",IF(Plano!$K10+Plano!$G10*MAX(0,ROUNDUP((AC$5-Plano!$K10)/Plano!$G10,0))&lt;=IF(DAY(AC$5)&gt;=29,EOMONTH(AC$5,0),AC$5+6),"●",""))</f>
        <v/>
      </c>
      <c r="AD13" s="53" t="str">
        <f ca="1">IF(OR(NOT(ISNUMBER(AD$5)),N(Plano!$G10)=0,N(Plano!$K10)=0),"",IF(Plano!$K10+Plano!$G10*MAX(0,ROUNDUP((AD$5-Plano!$K10)/Plano!$G10,0))&lt;=IF(DAY(AD$5)&gt;=29,EOMONTH(AD$5,0),AD$5+6),"●",""))</f>
        <v/>
      </c>
      <c r="AE13" s="54" t="str">
        <f ca="1">IF(OR(NOT(ISNUMBER(AE$5)),N(Plano!$G10)=0,N(Plano!$K10)=0),"",IF(Plano!$K10+Plano!$G10*MAX(0,ROUNDUP((AE$5-Plano!$K10)/Plano!$G10,0))&lt;=IF(DAY(AE$5)&gt;=29,EOMONTH(AE$5,0),AE$5+6),"●",""))</f>
        <v/>
      </c>
      <c r="AF13" s="53" t="str">
        <f ca="1">IF(OR(NOT(ISNUMBER(AF$5)),N(Plano!$G10)=0,N(Plano!$K10)=0),"",IF(Plano!$K10+Plano!$G10*MAX(0,ROUNDUP((AF$5-Plano!$K10)/Plano!$G10,0))&lt;=IF(DAY(AF$5)&gt;=29,EOMONTH(AF$5,0),AF$5+6),"●",""))</f>
        <v/>
      </c>
      <c r="AG13" s="53" t="str">
        <f ca="1">IF(OR(NOT(ISNUMBER(AG$5)),N(Plano!$G10)=0,N(Plano!$K10)=0),"",IF(Plano!$K10+Plano!$G10*MAX(0,ROUNDUP((AG$5-Plano!$K10)/Plano!$G10,0))&lt;=IF(DAY(AG$5)&gt;=29,EOMONTH(AG$5,0),AG$5+6),"●",""))</f>
        <v/>
      </c>
      <c r="AH13" s="53" t="str">
        <f ca="1">IF(OR(NOT(ISNUMBER(AH$5)),N(Plano!$G10)=0,N(Plano!$K10)=0),"",IF(Plano!$K10+Plano!$G10*MAX(0,ROUNDUP((AH$5-Plano!$K10)/Plano!$G10,0))&lt;=IF(DAY(AH$5)&gt;=29,EOMONTH(AH$5,0),AH$5+6),"●",""))</f>
        <v/>
      </c>
      <c r="AI13" s="53" t="str">
        <f ca="1">IF(OR(NOT(ISNUMBER(AI$5)),N(Plano!$G10)=0,N(Plano!$K10)=0),"",IF(Plano!$K10+Plano!$G10*MAX(0,ROUNDUP((AI$5-Plano!$K10)/Plano!$G10,0))&lt;=IF(DAY(AI$5)&gt;=29,EOMONTH(AI$5,0),AI$5+6),"●",""))</f>
        <v/>
      </c>
      <c r="AJ13" s="54" t="str">
        <f ca="1">IF(OR(NOT(ISNUMBER(AJ$5)),N(Plano!$G10)=0,N(Plano!$K10)=0),"",IF(Plano!$K10+Plano!$G10*MAX(0,ROUNDUP((AJ$5-Plano!$K10)/Plano!$G10,0))&lt;=IF(DAY(AJ$5)&gt;=29,EOMONTH(AJ$5,0),AJ$5+6),"●",""))</f>
        <v/>
      </c>
      <c r="AK13" s="53" t="str">
        <f ca="1">IF(OR(NOT(ISNUMBER(AK$5)),N(Plano!$G10)=0,N(Plano!$K10)=0),"",IF(Plano!$K10+Plano!$G10*MAX(0,ROUNDUP((AK$5-Plano!$K10)/Plano!$G10,0))&lt;=IF(DAY(AK$5)&gt;=29,EOMONTH(AK$5,0),AK$5+6),"●",""))</f>
        <v/>
      </c>
      <c r="AL13" s="53" t="str">
        <f ca="1">IF(OR(NOT(ISNUMBER(AL$5)),N(Plano!$G10)=0,N(Plano!$K10)=0),"",IF(Plano!$K10+Plano!$G10*MAX(0,ROUNDUP((AL$5-Plano!$K10)/Plano!$G10,0))&lt;=IF(DAY(AL$5)&gt;=29,EOMONTH(AL$5,0),AL$5+6),"●",""))</f>
        <v/>
      </c>
      <c r="AM13" s="53" t="str">
        <f ca="1">IF(OR(NOT(ISNUMBER(AM$5)),N(Plano!$G10)=0,N(Plano!$K10)=0),"",IF(Plano!$K10+Plano!$G10*MAX(0,ROUNDUP((AM$5-Plano!$K10)/Plano!$G10,0))&lt;=IF(DAY(AM$5)&gt;=29,EOMONTH(AM$5,0),AM$5+6),"●",""))</f>
        <v/>
      </c>
      <c r="AN13" s="53" t="str">
        <f ca="1">IF(OR(NOT(ISNUMBER(AN$5)),N(Plano!$G10)=0,N(Plano!$K10)=0),"",IF(Plano!$K10+Plano!$G10*MAX(0,ROUNDUP((AN$5-Plano!$K10)/Plano!$G10,0))&lt;=IF(DAY(AN$5)&gt;=29,EOMONTH(AN$5,0),AN$5+6),"●",""))</f>
        <v/>
      </c>
      <c r="AO13" s="54" t="str">
        <f ca="1">IF(OR(NOT(ISNUMBER(AO$5)),N(Plano!$G10)=0,N(Plano!$K10)=0),"",IF(Plano!$K10+Plano!$G10*MAX(0,ROUNDUP((AO$5-Plano!$K10)/Plano!$G10,0))&lt;=IF(DAY(AO$5)&gt;=29,EOMONTH(AO$5,0),AO$5+6),"●",""))</f>
        <v/>
      </c>
      <c r="AP13" s="53" t="str">
        <f ca="1">IF(OR(NOT(ISNUMBER(AP$5)),N(Plano!$G10)=0,N(Plano!$K10)=0),"",IF(Plano!$K10+Plano!$G10*MAX(0,ROUNDUP((AP$5-Plano!$K10)/Plano!$G10,0))&lt;=IF(DAY(AP$5)&gt;=29,EOMONTH(AP$5,0),AP$5+6),"●",""))</f>
        <v/>
      </c>
      <c r="AQ13" s="53" t="str">
        <f ca="1">IF(OR(NOT(ISNUMBER(AQ$5)),N(Plano!$G10)=0,N(Plano!$K10)=0),"",IF(Plano!$K10+Plano!$G10*MAX(0,ROUNDUP((AQ$5-Plano!$K10)/Plano!$G10,0))&lt;=IF(DAY(AQ$5)&gt;=29,EOMONTH(AQ$5,0),AQ$5+6),"●",""))</f>
        <v/>
      </c>
      <c r="AR13" s="53" t="str">
        <f ca="1">IF(OR(NOT(ISNUMBER(AR$5)),N(Plano!$G10)=0,N(Plano!$K10)=0),"",IF(Plano!$K10+Plano!$G10*MAX(0,ROUNDUP((AR$5-Plano!$K10)/Plano!$G10,0))&lt;=IF(DAY(AR$5)&gt;=29,EOMONTH(AR$5,0),AR$5+6),"●",""))</f>
        <v/>
      </c>
      <c r="AS13" s="53" t="str">
        <f ca="1">IF(OR(NOT(ISNUMBER(AS$5)),N(Plano!$G10)=0,N(Plano!$K10)=0),"",IF(Plano!$K10+Plano!$G10*MAX(0,ROUNDUP((AS$5-Plano!$K10)/Plano!$G10,0))&lt;=IF(DAY(AS$5)&gt;=29,EOMONTH(AS$5,0),AS$5+6),"●",""))</f>
        <v/>
      </c>
      <c r="AT13" s="54" t="str">
        <f ca="1">IF(OR(NOT(ISNUMBER(AT$5)),N(Plano!$G10)=0,N(Plano!$K10)=0),"",IF(Plano!$K10+Plano!$G10*MAX(0,ROUNDUP((AT$5-Plano!$K10)/Plano!$G10,0))&lt;=IF(DAY(AT$5)&gt;=29,EOMONTH(AT$5,0),AT$5+6),"●",""))</f>
        <v/>
      </c>
      <c r="AU13" s="53" t="str">
        <f ca="1">IF(OR(NOT(ISNUMBER(AU$5)),N(Plano!$G10)=0,N(Plano!$K10)=0),"",IF(Plano!$K10+Plano!$G10*MAX(0,ROUNDUP((AU$5-Plano!$K10)/Plano!$G10,0))&lt;=IF(DAY(AU$5)&gt;=29,EOMONTH(AU$5,0),AU$5+6),"●",""))</f>
        <v/>
      </c>
      <c r="AV13" s="53" t="str">
        <f ca="1">IF(OR(NOT(ISNUMBER(AV$5)),N(Plano!$G10)=0,N(Plano!$K10)=0),"",IF(Plano!$K10+Plano!$G10*MAX(0,ROUNDUP((AV$5-Plano!$K10)/Plano!$G10,0))&lt;=IF(DAY(AV$5)&gt;=29,EOMONTH(AV$5,0),AV$5+6),"●",""))</f>
        <v/>
      </c>
      <c r="AW13" s="53" t="str">
        <f ca="1">IF(OR(NOT(ISNUMBER(AW$5)),N(Plano!$G10)=0,N(Plano!$K10)=0),"",IF(Plano!$K10+Plano!$G10*MAX(0,ROUNDUP((AW$5-Plano!$K10)/Plano!$G10,0))&lt;=IF(DAY(AW$5)&gt;=29,EOMONTH(AW$5,0),AW$5+6),"●",""))</f>
        <v/>
      </c>
      <c r="AX13" s="53" t="str">
        <f ca="1">IF(OR(NOT(ISNUMBER(AX$5)),N(Plano!$G10)=0,N(Plano!$K10)=0),"",IF(Plano!$K10+Plano!$G10*MAX(0,ROUNDUP((AX$5-Plano!$K10)/Plano!$G10,0))&lt;=IF(DAY(AX$5)&gt;=29,EOMONTH(AX$5,0),AX$5+6),"●",""))</f>
        <v/>
      </c>
      <c r="AY13" s="54" t="str">
        <f ca="1">IF(OR(NOT(ISNUMBER(AY$5)),N(Plano!$G10)=0,N(Plano!$K10)=0),"",IF(Plano!$K10+Plano!$G10*MAX(0,ROUNDUP((AY$5-Plano!$K10)/Plano!$G10,0))&lt;=IF(DAY(AY$5)&gt;=29,EOMONTH(AY$5,0),AY$5+6),"●",""))</f>
        <v/>
      </c>
      <c r="AZ13" s="53" t="str">
        <f ca="1">IF(OR(NOT(ISNUMBER(AZ$5)),N(Plano!$G10)=0,N(Plano!$K10)=0),"",IF(Plano!$K10+Plano!$G10*MAX(0,ROUNDUP((AZ$5-Plano!$K10)/Plano!$G10,0))&lt;=IF(DAY(AZ$5)&gt;=29,EOMONTH(AZ$5,0),AZ$5+6),"●",""))</f>
        <v/>
      </c>
      <c r="BA13" s="53" t="str">
        <f ca="1">IF(OR(NOT(ISNUMBER(BA$5)),N(Plano!$G10)=0,N(Plano!$K10)=0),"",IF(Plano!$K10+Plano!$G10*MAX(0,ROUNDUP((BA$5-Plano!$K10)/Plano!$G10,0))&lt;=IF(DAY(BA$5)&gt;=29,EOMONTH(BA$5,0),BA$5+6),"●",""))</f>
        <v/>
      </c>
      <c r="BB13" s="53" t="str">
        <f ca="1">IF(OR(NOT(ISNUMBER(BB$5)),N(Plano!$G10)=0,N(Plano!$K10)=0),"",IF(Plano!$K10+Plano!$G10*MAX(0,ROUNDUP((BB$5-Plano!$K10)/Plano!$G10,0))&lt;=IF(DAY(BB$5)&gt;=29,EOMONTH(BB$5,0),BB$5+6),"●",""))</f>
        <v/>
      </c>
      <c r="BC13" s="53" t="str">
        <f ca="1">IF(OR(NOT(ISNUMBER(BC$5)),N(Plano!$G10)=0,N(Plano!$K10)=0),"",IF(Plano!$K10+Plano!$G10*MAX(0,ROUNDUP((BC$5-Plano!$K10)/Plano!$G10,0))&lt;=IF(DAY(BC$5)&gt;=29,EOMONTH(BC$5,0),BC$5+6),"●",""))</f>
        <v/>
      </c>
      <c r="BD13" s="54" t="str">
        <f ca="1">IF(OR(NOT(ISNUMBER(BD$5)),N(Plano!$G10)=0,N(Plano!$K10)=0),"",IF(Plano!$K10+Plano!$G10*MAX(0,ROUNDUP((BD$5-Plano!$K10)/Plano!$G10,0))&lt;=IF(DAY(BD$5)&gt;=29,EOMONTH(BD$5,0),BD$5+6),"●",""))</f>
        <v/>
      </c>
      <c r="BE13" s="53" t="str">
        <f ca="1">IF(OR(NOT(ISNUMBER(BE$5)),N(Plano!$G10)=0,N(Plano!$K10)=0),"",IF(Plano!$K10+Plano!$G10*MAX(0,ROUNDUP((BE$5-Plano!$K10)/Plano!$G10,0))&lt;=IF(DAY(BE$5)&gt;=29,EOMONTH(BE$5,0),BE$5+6),"●",""))</f>
        <v/>
      </c>
      <c r="BF13" s="53" t="str">
        <f ca="1">IF(OR(NOT(ISNUMBER(BF$5)),N(Plano!$G10)=0,N(Plano!$K10)=0),"",IF(Plano!$K10+Plano!$G10*MAX(0,ROUNDUP((BF$5-Plano!$K10)/Plano!$G10,0))&lt;=IF(DAY(BF$5)&gt;=29,EOMONTH(BF$5,0),BF$5+6),"●",""))</f>
        <v/>
      </c>
      <c r="BG13" s="53" t="str">
        <f ca="1">IF(OR(NOT(ISNUMBER(BG$5)),N(Plano!$G10)=0,N(Plano!$K10)=0),"",IF(Plano!$K10+Plano!$G10*MAX(0,ROUNDUP((BG$5-Plano!$K10)/Plano!$G10,0))&lt;=IF(DAY(BG$5)&gt;=29,EOMONTH(BG$5,0),BG$5+6),"●",""))</f>
        <v/>
      </c>
      <c r="BH13" s="53" t="str">
        <f ca="1">IF(OR(NOT(ISNUMBER(BH$5)),N(Plano!$G10)=0,N(Plano!$K10)=0),"",IF(Plano!$K10+Plano!$G10*MAX(0,ROUNDUP((BH$5-Plano!$K10)/Plano!$G10,0))&lt;=IF(DAY(BH$5)&gt;=29,EOMONTH(BH$5,0),BH$5+6),"●",""))</f>
        <v/>
      </c>
      <c r="BI13" s="54" t="str">
        <f ca="1">IF(OR(NOT(ISNUMBER(BI$5)),N(Plano!$G10)=0,N(Plano!$K10)=0),"",IF(Plano!$K10+Plano!$G10*MAX(0,ROUNDUP((BI$5-Plano!$K10)/Plano!$G10,0))&lt;=IF(DAY(BI$5)&gt;=29,EOMONTH(BI$5,0),BI$5+6),"●",""))</f>
        <v/>
      </c>
      <c r="BJ13" s="53" t="str">
        <f ca="1">IF(OR(NOT(ISNUMBER(BJ$5)),N(Plano!$G10)=0,N(Plano!$K10)=0),"",IF(Plano!$K10+Plano!$G10*MAX(0,ROUNDUP((BJ$5-Plano!$K10)/Plano!$G10,0))&lt;=IF(DAY(BJ$5)&gt;=29,EOMONTH(BJ$5,0),BJ$5+6),"●",""))</f>
        <v/>
      </c>
      <c r="BK13" s="53" t="str">
        <f ca="1">IF(OR(NOT(ISNUMBER(BK$5)),N(Plano!$G10)=0,N(Plano!$K10)=0),"",IF(Plano!$K10+Plano!$G10*MAX(0,ROUNDUP((BK$5-Plano!$K10)/Plano!$G10,0))&lt;=IF(DAY(BK$5)&gt;=29,EOMONTH(BK$5,0),BK$5+6),"●",""))</f>
        <v/>
      </c>
      <c r="BL13" s="53" t="str">
        <f ca="1">IF(OR(NOT(ISNUMBER(BL$5)),N(Plano!$G10)=0,N(Plano!$K10)=0),"",IF(Plano!$K10+Plano!$G10*MAX(0,ROUNDUP((BL$5-Plano!$K10)/Plano!$G10,0))&lt;=IF(DAY(BL$5)&gt;=29,EOMONTH(BL$5,0),BL$5+6),"●",""))</f>
        <v/>
      </c>
      <c r="BM13" s="55" t="str">
        <f ca="1">IF(OR(NOT(ISNUMBER(BM$5)),N(Plano!$G10)=0,N(Plano!$K10)=0),"",IF(Plano!$K10+Plano!$G10*MAX(0,ROUNDUP((BM$5-Plano!$K10)/Plano!$G10,0))&lt;=IF(DAY(BM$5)&gt;=29,EOMONTH(BM$5,0),BM$5+6),"●",""))</f>
        <v/>
      </c>
    </row>
    <row r="14" spans="1:65" ht="18" customHeight="1">
      <c r="A14" s="40">
        <f>Plano!A11</f>
        <v>7</v>
      </c>
      <c r="B14" s="51" t="str">
        <f>IF(Plano!B11="","",Plano!B11)</f>
        <v/>
      </c>
      <c r="C14" s="20" t="str">
        <f>IF(B14="","",IFERROR(INDEX(tb_pcm_ativos[descricao_ativo],MATCH(B14,tb_pcm_ativos[tag],0)),"fora do cadastro"))</f>
        <v/>
      </c>
      <c r="D14" s="20" t="str">
        <f>IF(Plano!E11="","",Plano!E11)</f>
        <v/>
      </c>
      <c r="E14" s="52" t="str">
        <f>IF(Plano!G11="","",Plano!G11)</f>
        <v/>
      </c>
      <c r="F14" s="53" t="str">
        <f ca="1">IF(OR(NOT(ISNUMBER(F$5)),N(Plano!$G11)=0,N(Plano!$K11)=0),"",IF(Plano!$K11+Plano!$G11*MAX(0,ROUNDUP((F$5-Plano!$K11)/Plano!$G11,0))&lt;=IF(DAY(F$5)&gt;=29,EOMONTH(F$5,0),F$5+6),"●",""))</f>
        <v/>
      </c>
      <c r="G14" s="53" t="str">
        <f ca="1">IF(OR(NOT(ISNUMBER(G$5)),N(Plano!$G11)=0,N(Plano!$K11)=0),"",IF(Plano!$K11+Plano!$G11*MAX(0,ROUNDUP((G$5-Plano!$K11)/Plano!$G11,0))&lt;=IF(DAY(G$5)&gt;=29,EOMONTH(G$5,0),G$5+6),"●",""))</f>
        <v/>
      </c>
      <c r="H14" s="53" t="str">
        <f ca="1">IF(OR(NOT(ISNUMBER(H$5)),N(Plano!$G11)=0,N(Plano!$K11)=0),"",IF(Plano!$K11+Plano!$G11*MAX(0,ROUNDUP((H$5-Plano!$K11)/Plano!$G11,0))&lt;=IF(DAY(H$5)&gt;=29,EOMONTH(H$5,0),H$5+6),"●",""))</f>
        <v/>
      </c>
      <c r="I14" s="53" t="str">
        <f ca="1">IF(OR(NOT(ISNUMBER(I$5)),N(Plano!$G11)=0,N(Plano!$K11)=0),"",IF(Plano!$K11+Plano!$G11*MAX(0,ROUNDUP((I$5-Plano!$K11)/Plano!$G11,0))&lt;=IF(DAY(I$5)&gt;=29,EOMONTH(I$5,0),I$5+6),"●",""))</f>
        <v/>
      </c>
      <c r="J14" s="53" t="str">
        <f ca="1">IF(OR(NOT(ISNUMBER(J$5)),N(Plano!$G11)=0,N(Plano!$K11)=0),"",IF(Plano!$K11+Plano!$G11*MAX(0,ROUNDUP((J$5-Plano!$K11)/Plano!$G11,0))&lt;=IF(DAY(J$5)&gt;=29,EOMONTH(J$5,0),J$5+6),"●",""))</f>
        <v/>
      </c>
      <c r="K14" s="54" t="str">
        <f ca="1">IF(OR(NOT(ISNUMBER(K$5)),N(Plano!$G11)=0,N(Plano!$K11)=0),"",IF(Plano!$K11+Plano!$G11*MAX(0,ROUNDUP((K$5-Plano!$K11)/Plano!$G11,0))&lt;=IF(DAY(K$5)&gt;=29,EOMONTH(K$5,0),K$5+6),"●",""))</f>
        <v/>
      </c>
      <c r="L14" s="53" t="str">
        <f ca="1">IF(OR(NOT(ISNUMBER(L$5)),N(Plano!$G11)=0,N(Plano!$K11)=0),"",IF(Plano!$K11+Plano!$G11*MAX(0,ROUNDUP((L$5-Plano!$K11)/Plano!$G11,0))&lt;=IF(DAY(L$5)&gt;=29,EOMONTH(L$5,0),L$5+6),"●",""))</f>
        <v/>
      </c>
      <c r="M14" s="53" t="str">
        <f ca="1">IF(OR(NOT(ISNUMBER(M$5)),N(Plano!$G11)=0,N(Plano!$K11)=0),"",IF(Plano!$K11+Plano!$G11*MAX(0,ROUNDUP((M$5-Plano!$K11)/Plano!$G11,0))&lt;=IF(DAY(M$5)&gt;=29,EOMONTH(M$5,0),M$5+6),"●",""))</f>
        <v/>
      </c>
      <c r="N14" s="53" t="str">
        <f ca="1">IF(OR(NOT(ISNUMBER(N$5)),N(Plano!$G11)=0,N(Plano!$K11)=0),"",IF(Plano!$K11+Plano!$G11*MAX(0,ROUNDUP((N$5-Plano!$K11)/Plano!$G11,0))&lt;=IF(DAY(N$5)&gt;=29,EOMONTH(N$5,0),N$5+6),"●",""))</f>
        <v/>
      </c>
      <c r="O14" s="53" t="str">
        <f ca="1">IF(OR(NOT(ISNUMBER(O$5)),N(Plano!$G11)=0,N(Plano!$K11)=0),"",IF(Plano!$K11+Plano!$G11*MAX(0,ROUNDUP((O$5-Plano!$K11)/Plano!$G11,0))&lt;=IF(DAY(O$5)&gt;=29,EOMONTH(O$5,0),O$5+6),"●",""))</f>
        <v/>
      </c>
      <c r="P14" s="54" t="str">
        <f ca="1">IF(OR(NOT(ISNUMBER(P$5)),N(Plano!$G11)=0,N(Plano!$K11)=0),"",IF(Plano!$K11+Plano!$G11*MAX(0,ROUNDUP((P$5-Plano!$K11)/Plano!$G11,0))&lt;=IF(DAY(P$5)&gt;=29,EOMONTH(P$5,0),P$5+6),"●",""))</f>
        <v/>
      </c>
      <c r="Q14" s="53" t="str">
        <f ca="1">IF(OR(NOT(ISNUMBER(Q$5)),N(Plano!$G11)=0,N(Plano!$K11)=0),"",IF(Plano!$K11+Plano!$G11*MAX(0,ROUNDUP((Q$5-Plano!$K11)/Plano!$G11,0))&lt;=IF(DAY(Q$5)&gt;=29,EOMONTH(Q$5,0),Q$5+6),"●",""))</f>
        <v/>
      </c>
      <c r="R14" s="53" t="str">
        <f ca="1">IF(OR(NOT(ISNUMBER(R$5)),N(Plano!$G11)=0,N(Plano!$K11)=0),"",IF(Plano!$K11+Plano!$G11*MAX(0,ROUNDUP((R$5-Plano!$K11)/Plano!$G11,0))&lt;=IF(DAY(R$5)&gt;=29,EOMONTH(R$5,0),R$5+6),"●",""))</f>
        <v/>
      </c>
      <c r="S14" s="53" t="str">
        <f ca="1">IF(OR(NOT(ISNUMBER(S$5)),N(Plano!$G11)=0,N(Plano!$K11)=0),"",IF(Plano!$K11+Plano!$G11*MAX(0,ROUNDUP((S$5-Plano!$K11)/Plano!$G11,0))&lt;=IF(DAY(S$5)&gt;=29,EOMONTH(S$5,0),S$5+6),"●",""))</f>
        <v/>
      </c>
      <c r="T14" s="53" t="str">
        <f ca="1">IF(OR(NOT(ISNUMBER(T$5)),N(Plano!$G11)=0,N(Plano!$K11)=0),"",IF(Plano!$K11+Plano!$G11*MAX(0,ROUNDUP((T$5-Plano!$K11)/Plano!$G11,0))&lt;=IF(DAY(T$5)&gt;=29,EOMONTH(T$5,0),T$5+6),"●",""))</f>
        <v/>
      </c>
      <c r="U14" s="54" t="str">
        <f ca="1">IF(OR(NOT(ISNUMBER(U$5)),N(Plano!$G11)=0,N(Plano!$K11)=0),"",IF(Plano!$K11+Plano!$G11*MAX(0,ROUNDUP((U$5-Plano!$K11)/Plano!$G11,0))&lt;=IF(DAY(U$5)&gt;=29,EOMONTH(U$5,0),U$5+6),"●",""))</f>
        <v/>
      </c>
      <c r="V14" s="53" t="str">
        <f ca="1">IF(OR(NOT(ISNUMBER(V$5)),N(Plano!$G11)=0,N(Plano!$K11)=0),"",IF(Plano!$K11+Plano!$G11*MAX(0,ROUNDUP((V$5-Plano!$K11)/Plano!$G11,0))&lt;=IF(DAY(V$5)&gt;=29,EOMONTH(V$5,0),V$5+6),"●",""))</f>
        <v/>
      </c>
      <c r="W14" s="53" t="str">
        <f ca="1">IF(OR(NOT(ISNUMBER(W$5)),N(Plano!$G11)=0,N(Plano!$K11)=0),"",IF(Plano!$K11+Plano!$G11*MAX(0,ROUNDUP((W$5-Plano!$K11)/Plano!$G11,0))&lt;=IF(DAY(W$5)&gt;=29,EOMONTH(W$5,0),W$5+6),"●",""))</f>
        <v/>
      </c>
      <c r="X14" s="53" t="str">
        <f ca="1">IF(OR(NOT(ISNUMBER(X$5)),N(Plano!$G11)=0,N(Plano!$K11)=0),"",IF(Plano!$K11+Plano!$G11*MAX(0,ROUNDUP((X$5-Plano!$K11)/Plano!$G11,0))&lt;=IF(DAY(X$5)&gt;=29,EOMONTH(X$5,0),X$5+6),"●",""))</f>
        <v/>
      </c>
      <c r="Y14" s="53" t="str">
        <f ca="1">IF(OR(NOT(ISNUMBER(Y$5)),N(Plano!$G11)=0,N(Plano!$K11)=0),"",IF(Plano!$K11+Plano!$G11*MAX(0,ROUNDUP((Y$5-Plano!$K11)/Plano!$G11,0))&lt;=IF(DAY(Y$5)&gt;=29,EOMONTH(Y$5,0),Y$5+6),"●",""))</f>
        <v/>
      </c>
      <c r="Z14" s="54" t="str">
        <f ca="1">IF(OR(NOT(ISNUMBER(Z$5)),N(Plano!$G11)=0,N(Plano!$K11)=0),"",IF(Plano!$K11+Plano!$G11*MAX(0,ROUNDUP((Z$5-Plano!$K11)/Plano!$G11,0))&lt;=IF(DAY(Z$5)&gt;=29,EOMONTH(Z$5,0),Z$5+6),"●",""))</f>
        <v/>
      </c>
      <c r="AA14" s="53" t="str">
        <f ca="1">IF(OR(NOT(ISNUMBER(AA$5)),N(Plano!$G11)=0,N(Plano!$K11)=0),"",IF(Plano!$K11+Plano!$G11*MAX(0,ROUNDUP((AA$5-Plano!$K11)/Plano!$G11,0))&lt;=IF(DAY(AA$5)&gt;=29,EOMONTH(AA$5,0),AA$5+6),"●",""))</f>
        <v/>
      </c>
      <c r="AB14" s="53" t="str">
        <f ca="1">IF(OR(NOT(ISNUMBER(AB$5)),N(Plano!$G11)=0,N(Plano!$K11)=0),"",IF(Plano!$K11+Plano!$G11*MAX(0,ROUNDUP((AB$5-Plano!$K11)/Plano!$G11,0))&lt;=IF(DAY(AB$5)&gt;=29,EOMONTH(AB$5,0),AB$5+6),"●",""))</f>
        <v/>
      </c>
      <c r="AC14" s="53" t="str">
        <f ca="1">IF(OR(NOT(ISNUMBER(AC$5)),N(Plano!$G11)=0,N(Plano!$K11)=0),"",IF(Plano!$K11+Plano!$G11*MAX(0,ROUNDUP((AC$5-Plano!$K11)/Plano!$G11,0))&lt;=IF(DAY(AC$5)&gt;=29,EOMONTH(AC$5,0),AC$5+6),"●",""))</f>
        <v/>
      </c>
      <c r="AD14" s="53" t="str">
        <f ca="1">IF(OR(NOT(ISNUMBER(AD$5)),N(Plano!$G11)=0,N(Plano!$K11)=0),"",IF(Plano!$K11+Plano!$G11*MAX(0,ROUNDUP((AD$5-Plano!$K11)/Plano!$G11,0))&lt;=IF(DAY(AD$5)&gt;=29,EOMONTH(AD$5,0),AD$5+6),"●",""))</f>
        <v/>
      </c>
      <c r="AE14" s="54" t="str">
        <f ca="1">IF(OR(NOT(ISNUMBER(AE$5)),N(Plano!$G11)=0,N(Plano!$K11)=0),"",IF(Plano!$K11+Plano!$G11*MAX(0,ROUNDUP((AE$5-Plano!$K11)/Plano!$G11,0))&lt;=IF(DAY(AE$5)&gt;=29,EOMONTH(AE$5,0),AE$5+6),"●",""))</f>
        <v/>
      </c>
      <c r="AF14" s="53" t="str">
        <f ca="1">IF(OR(NOT(ISNUMBER(AF$5)),N(Plano!$G11)=0,N(Plano!$K11)=0),"",IF(Plano!$K11+Plano!$G11*MAX(0,ROUNDUP((AF$5-Plano!$K11)/Plano!$G11,0))&lt;=IF(DAY(AF$5)&gt;=29,EOMONTH(AF$5,0),AF$5+6),"●",""))</f>
        <v/>
      </c>
      <c r="AG14" s="53" t="str">
        <f ca="1">IF(OR(NOT(ISNUMBER(AG$5)),N(Plano!$G11)=0,N(Plano!$K11)=0),"",IF(Plano!$K11+Plano!$G11*MAX(0,ROUNDUP((AG$5-Plano!$K11)/Plano!$G11,0))&lt;=IF(DAY(AG$5)&gt;=29,EOMONTH(AG$5,0),AG$5+6),"●",""))</f>
        <v/>
      </c>
      <c r="AH14" s="53" t="str">
        <f ca="1">IF(OR(NOT(ISNUMBER(AH$5)),N(Plano!$G11)=0,N(Plano!$K11)=0),"",IF(Plano!$K11+Plano!$G11*MAX(0,ROUNDUP((AH$5-Plano!$K11)/Plano!$G11,0))&lt;=IF(DAY(AH$5)&gt;=29,EOMONTH(AH$5,0),AH$5+6),"●",""))</f>
        <v/>
      </c>
      <c r="AI14" s="53" t="str">
        <f ca="1">IF(OR(NOT(ISNUMBER(AI$5)),N(Plano!$G11)=0,N(Plano!$K11)=0),"",IF(Plano!$K11+Plano!$G11*MAX(0,ROUNDUP((AI$5-Plano!$K11)/Plano!$G11,0))&lt;=IF(DAY(AI$5)&gt;=29,EOMONTH(AI$5,0),AI$5+6),"●",""))</f>
        <v/>
      </c>
      <c r="AJ14" s="54" t="str">
        <f ca="1">IF(OR(NOT(ISNUMBER(AJ$5)),N(Plano!$G11)=0,N(Plano!$K11)=0),"",IF(Plano!$K11+Plano!$G11*MAX(0,ROUNDUP((AJ$5-Plano!$K11)/Plano!$G11,0))&lt;=IF(DAY(AJ$5)&gt;=29,EOMONTH(AJ$5,0),AJ$5+6),"●",""))</f>
        <v/>
      </c>
      <c r="AK14" s="53" t="str">
        <f ca="1">IF(OR(NOT(ISNUMBER(AK$5)),N(Plano!$G11)=0,N(Plano!$K11)=0),"",IF(Plano!$K11+Plano!$G11*MAX(0,ROUNDUP((AK$5-Plano!$K11)/Plano!$G11,0))&lt;=IF(DAY(AK$5)&gt;=29,EOMONTH(AK$5,0),AK$5+6),"●",""))</f>
        <v/>
      </c>
      <c r="AL14" s="53" t="str">
        <f ca="1">IF(OR(NOT(ISNUMBER(AL$5)),N(Plano!$G11)=0,N(Plano!$K11)=0),"",IF(Plano!$K11+Plano!$G11*MAX(0,ROUNDUP((AL$5-Plano!$K11)/Plano!$G11,0))&lt;=IF(DAY(AL$5)&gt;=29,EOMONTH(AL$5,0),AL$5+6),"●",""))</f>
        <v/>
      </c>
      <c r="AM14" s="53" t="str">
        <f ca="1">IF(OR(NOT(ISNUMBER(AM$5)),N(Plano!$G11)=0,N(Plano!$K11)=0),"",IF(Plano!$K11+Plano!$G11*MAX(0,ROUNDUP((AM$5-Plano!$K11)/Plano!$G11,0))&lt;=IF(DAY(AM$5)&gt;=29,EOMONTH(AM$5,0),AM$5+6),"●",""))</f>
        <v/>
      </c>
      <c r="AN14" s="53" t="str">
        <f ca="1">IF(OR(NOT(ISNUMBER(AN$5)),N(Plano!$G11)=0,N(Plano!$K11)=0),"",IF(Plano!$K11+Plano!$G11*MAX(0,ROUNDUP((AN$5-Plano!$K11)/Plano!$G11,0))&lt;=IF(DAY(AN$5)&gt;=29,EOMONTH(AN$5,0),AN$5+6),"●",""))</f>
        <v/>
      </c>
      <c r="AO14" s="54" t="str">
        <f ca="1">IF(OR(NOT(ISNUMBER(AO$5)),N(Plano!$G11)=0,N(Plano!$K11)=0),"",IF(Plano!$K11+Plano!$G11*MAX(0,ROUNDUP((AO$5-Plano!$K11)/Plano!$G11,0))&lt;=IF(DAY(AO$5)&gt;=29,EOMONTH(AO$5,0),AO$5+6),"●",""))</f>
        <v/>
      </c>
      <c r="AP14" s="53" t="str">
        <f ca="1">IF(OR(NOT(ISNUMBER(AP$5)),N(Plano!$G11)=0,N(Plano!$K11)=0),"",IF(Plano!$K11+Plano!$G11*MAX(0,ROUNDUP((AP$5-Plano!$K11)/Plano!$G11,0))&lt;=IF(DAY(AP$5)&gt;=29,EOMONTH(AP$5,0),AP$5+6),"●",""))</f>
        <v/>
      </c>
      <c r="AQ14" s="53" t="str">
        <f ca="1">IF(OR(NOT(ISNUMBER(AQ$5)),N(Plano!$G11)=0,N(Plano!$K11)=0),"",IF(Plano!$K11+Plano!$G11*MAX(0,ROUNDUP((AQ$5-Plano!$K11)/Plano!$G11,0))&lt;=IF(DAY(AQ$5)&gt;=29,EOMONTH(AQ$5,0),AQ$5+6),"●",""))</f>
        <v/>
      </c>
      <c r="AR14" s="53" t="str">
        <f ca="1">IF(OR(NOT(ISNUMBER(AR$5)),N(Plano!$G11)=0,N(Plano!$K11)=0),"",IF(Plano!$K11+Plano!$G11*MAX(0,ROUNDUP((AR$5-Plano!$K11)/Plano!$G11,0))&lt;=IF(DAY(AR$5)&gt;=29,EOMONTH(AR$5,0),AR$5+6),"●",""))</f>
        <v/>
      </c>
      <c r="AS14" s="53" t="str">
        <f ca="1">IF(OR(NOT(ISNUMBER(AS$5)),N(Plano!$G11)=0,N(Plano!$K11)=0),"",IF(Plano!$K11+Plano!$G11*MAX(0,ROUNDUP((AS$5-Plano!$K11)/Plano!$G11,0))&lt;=IF(DAY(AS$5)&gt;=29,EOMONTH(AS$5,0),AS$5+6),"●",""))</f>
        <v/>
      </c>
      <c r="AT14" s="54" t="str">
        <f ca="1">IF(OR(NOT(ISNUMBER(AT$5)),N(Plano!$G11)=0,N(Plano!$K11)=0),"",IF(Plano!$K11+Plano!$G11*MAX(0,ROUNDUP((AT$5-Plano!$K11)/Plano!$G11,0))&lt;=IF(DAY(AT$5)&gt;=29,EOMONTH(AT$5,0),AT$5+6),"●",""))</f>
        <v/>
      </c>
      <c r="AU14" s="53" t="str">
        <f ca="1">IF(OR(NOT(ISNUMBER(AU$5)),N(Plano!$G11)=0,N(Plano!$K11)=0),"",IF(Plano!$K11+Plano!$G11*MAX(0,ROUNDUP((AU$5-Plano!$K11)/Plano!$G11,0))&lt;=IF(DAY(AU$5)&gt;=29,EOMONTH(AU$5,0),AU$5+6),"●",""))</f>
        <v/>
      </c>
      <c r="AV14" s="53" t="str">
        <f ca="1">IF(OR(NOT(ISNUMBER(AV$5)),N(Plano!$G11)=0,N(Plano!$K11)=0),"",IF(Plano!$K11+Plano!$G11*MAX(0,ROUNDUP((AV$5-Plano!$K11)/Plano!$G11,0))&lt;=IF(DAY(AV$5)&gt;=29,EOMONTH(AV$5,0),AV$5+6),"●",""))</f>
        <v/>
      </c>
      <c r="AW14" s="53" t="str">
        <f ca="1">IF(OR(NOT(ISNUMBER(AW$5)),N(Plano!$G11)=0,N(Plano!$K11)=0),"",IF(Plano!$K11+Plano!$G11*MAX(0,ROUNDUP((AW$5-Plano!$K11)/Plano!$G11,0))&lt;=IF(DAY(AW$5)&gt;=29,EOMONTH(AW$5,0),AW$5+6),"●",""))</f>
        <v/>
      </c>
      <c r="AX14" s="53" t="str">
        <f ca="1">IF(OR(NOT(ISNUMBER(AX$5)),N(Plano!$G11)=0,N(Plano!$K11)=0),"",IF(Plano!$K11+Plano!$G11*MAX(0,ROUNDUP((AX$5-Plano!$K11)/Plano!$G11,0))&lt;=IF(DAY(AX$5)&gt;=29,EOMONTH(AX$5,0),AX$5+6),"●",""))</f>
        <v/>
      </c>
      <c r="AY14" s="54" t="str">
        <f ca="1">IF(OR(NOT(ISNUMBER(AY$5)),N(Plano!$G11)=0,N(Plano!$K11)=0),"",IF(Plano!$K11+Plano!$G11*MAX(0,ROUNDUP((AY$5-Plano!$K11)/Plano!$G11,0))&lt;=IF(DAY(AY$5)&gt;=29,EOMONTH(AY$5,0),AY$5+6),"●",""))</f>
        <v/>
      </c>
      <c r="AZ14" s="53" t="str">
        <f ca="1">IF(OR(NOT(ISNUMBER(AZ$5)),N(Plano!$G11)=0,N(Plano!$K11)=0),"",IF(Plano!$K11+Plano!$G11*MAX(0,ROUNDUP((AZ$5-Plano!$K11)/Plano!$G11,0))&lt;=IF(DAY(AZ$5)&gt;=29,EOMONTH(AZ$5,0),AZ$5+6),"●",""))</f>
        <v/>
      </c>
      <c r="BA14" s="53" t="str">
        <f ca="1">IF(OR(NOT(ISNUMBER(BA$5)),N(Plano!$G11)=0,N(Plano!$K11)=0),"",IF(Plano!$K11+Plano!$G11*MAX(0,ROUNDUP((BA$5-Plano!$K11)/Plano!$G11,0))&lt;=IF(DAY(BA$5)&gt;=29,EOMONTH(BA$5,0),BA$5+6),"●",""))</f>
        <v/>
      </c>
      <c r="BB14" s="53" t="str">
        <f ca="1">IF(OR(NOT(ISNUMBER(BB$5)),N(Plano!$G11)=0,N(Plano!$K11)=0),"",IF(Plano!$K11+Plano!$G11*MAX(0,ROUNDUP((BB$5-Plano!$K11)/Plano!$G11,0))&lt;=IF(DAY(BB$5)&gt;=29,EOMONTH(BB$5,0),BB$5+6),"●",""))</f>
        <v/>
      </c>
      <c r="BC14" s="53" t="str">
        <f ca="1">IF(OR(NOT(ISNUMBER(BC$5)),N(Plano!$G11)=0,N(Plano!$K11)=0),"",IF(Plano!$K11+Plano!$G11*MAX(0,ROUNDUP((BC$5-Plano!$K11)/Plano!$G11,0))&lt;=IF(DAY(BC$5)&gt;=29,EOMONTH(BC$5,0),BC$5+6),"●",""))</f>
        <v/>
      </c>
      <c r="BD14" s="54" t="str">
        <f ca="1">IF(OR(NOT(ISNUMBER(BD$5)),N(Plano!$G11)=0,N(Plano!$K11)=0),"",IF(Plano!$K11+Plano!$G11*MAX(0,ROUNDUP((BD$5-Plano!$K11)/Plano!$G11,0))&lt;=IF(DAY(BD$5)&gt;=29,EOMONTH(BD$5,0),BD$5+6),"●",""))</f>
        <v/>
      </c>
      <c r="BE14" s="53" t="str">
        <f ca="1">IF(OR(NOT(ISNUMBER(BE$5)),N(Plano!$G11)=0,N(Plano!$K11)=0),"",IF(Plano!$K11+Plano!$G11*MAX(0,ROUNDUP((BE$5-Plano!$K11)/Plano!$G11,0))&lt;=IF(DAY(BE$5)&gt;=29,EOMONTH(BE$5,0),BE$5+6),"●",""))</f>
        <v/>
      </c>
      <c r="BF14" s="53" t="str">
        <f ca="1">IF(OR(NOT(ISNUMBER(BF$5)),N(Plano!$G11)=0,N(Plano!$K11)=0),"",IF(Plano!$K11+Plano!$G11*MAX(0,ROUNDUP((BF$5-Plano!$K11)/Plano!$G11,0))&lt;=IF(DAY(BF$5)&gt;=29,EOMONTH(BF$5,0),BF$5+6),"●",""))</f>
        <v/>
      </c>
      <c r="BG14" s="53" t="str">
        <f ca="1">IF(OR(NOT(ISNUMBER(BG$5)),N(Plano!$G11)=0,N(Plano!$K11)=0),"",IF(Plano!$K11+Plano!$G11*MAX(0,ROUNDUP((BG$5-Plano!$K11)/Plano!$G11,0))&lt;=IF(DAY(BG$5)&gt;=29,EOMONTH(BG$5,0),BG$5+6),"●",""))</f>
        <v/>
      </c>
      <c r="BH14" s="53" t="str">
        <f ca="1">IF(OR(NOT(ISNUMBER(BH$5)),N(Plano!$G11)=0,N(Plano!$K11)=0),"",IF(Plano!$K11+Plano!$G11*MAX(0,ROUNDUP((BH$5-Plano!$K11)/Plano!$G11,0))&lt;=IF(DAY(BH$5)&gt;=29,EOMONTH(BH$5,0),BH$5+6),"●",""))</f>
        <v/>
      </c>
      <c r="BI14" s="54" t="str">
        <f ca="1">IF(OR(NOT(ISNUMBER(BI$5)),N(Plano!$G11)=0,N(Plano!$K11)=0),"",IF(Plano!$K11+Plano!$G11*MAX(0,ROUNDUP((BI$5-Plano!$K11)/Plano!$G11,0))&lt;=IF(DAY(BI$5)&gt;=29,EOMONTH(BI$5,0),BI$5+6),"●",""))</f>
        <v/>
      </c>
      <c r="BJ14" s="53" t="str">
        <f ca="1">IF(OR(NOT(ISNUMBER(BJ$5)),N(Plano!$G11)=0,N(Plano!$K11)=0),"",IF(Plano!$K11+Plano!$G11*MAX(0,ROUNDUP((BJ$5-Plano!$K11)/Plano!$G11,0))&lt;=IF(DAY(BJ$5)&gt;=29,EOMONTH(BJ$5,0),BJ$5+6),"●",""))</f>
        <v/>
      </c>
      <c r="BK14" s="53" t="str">
        <f ca="1">IF(OR(NOT(ISNUMBER(BK$5)),N(Plano!$G11)=0,N(Plano!$K11)=0),"",IF(Plano!$K11+Plano!$G11*MAX(0,ROUNDUP((BK$5-Plano!$K11)/Plano!$G11,0))&lt;=IF(DAY(BK$5)&gt;=29,EOMONTH(BK$5,0),BK$5+6),"●",""))</f>
        <v/>
      </c>
      <c r="BL14" s="53" t="str">
        <f ca="1">IF(OR(NOT(ISNUMBER(BL$5)),N(Plano!$G11)=0,N(Plano!$K11)=0),"",IF(Plano!$K11+Plano!$G11*MAX(0,ROUNDUP((BL$5-Plano!$K11)/Plano!$G11,0))&lt;=IF(DAY(BL$5)&gt;=29,EOMONTH(BL$5,0),BL$5+6),"●",""))</f>
        <v/>
      </c>
      <c r="BM14" s="55" t="str">
        <f ca="1">IF(OR(NOT(ISNUMBER(BM$5)),N(Plano!$G11)=0,N(Plano!$K11)=0),"",IF(Plano!$K11+Plano!$G11*MAX(0,ROUNDUP((BM$5-Plano!$K11)/Plano!$G11,0))&lt;=IF(DAY(BM$5)&gt;=29,EOMONTH(BM$5,0),BM$5+6),"●",""))</f>
        <v/>
      </c>
    </row>
    <row r="15" spans="1:65" ht="18" customHeight="1">
      <c r="A15" s="40">
        <f>Plano!A12</f>
        <v>8</v>
      </c>
      <c r="B15" s="51" t="str">
        <f>IF(Plano!B12="","",Plano!B12)</f>
        <v/>
      </c>
      <c r="C15" s="20" t="str">
        <f>IF(B15="","",IFERROR(INDEX(tb_pcm_ativos[descricao_ativo],MATCH(B15,tb_pcm_ativos[tag],0)),"fora do cadastro"))</f>
        <v/>
      </c>
      <c r="D15" s="20" t="str">
        <f>IF(Plano!E12="","",Plano!E12)</f>
        <v/>
      </c>
      <c r="E15" s="52" t="str">
        <f>IF(Plano!G12="","",Plano!G12)</f>
        <v/>
      </c>
      <c r="F15" s="53" t="str">
        <f ca="1">IF(OR(NOT(ISNUMBER(F$5)),N(Plano!$G12)=0,N(Plano!$K12)=0),"",IF(Plano!$K12+Plano!$G12*MAX(0,ROUNDUP((F$5-Plano!$K12)/Plano!$G12,0))&lt;=IF(DAY(F$5)&gt;=29,EOMONTH(F$5,0),F$5+6),"●",""))</f>
        <v/>
      </c>
      <c r="G15" s="53" t="str">
        <f ca="1">IF(OR(NOT(ISNUMBER(G$5)),N(Plano!$G12)=0,N(Plano!$K12)=0),"",IF(Plano!$K12+Plano!$G12*MAX(0,ROUNDUP((G$5-Plano!$K12)/Plano!$G12,0))&lt;=IF(DAY(G$5)&gt;=29,EOMONTH(G$5,0),G$5+6),"●",""))</f>
        <v/>
      </c>
      <c r="H15" s="53" t="str">
        <f ca="1">IF(OR(NOT(ISNUMBER(H$5)),N(Plano!$G12)=0,N(Plano!$K12)=0),"",IF(Plano!$K12+Plano!$G12*MAX(0,ROUNDUP((H$5-Plano!$K12)/Plano!$G12,0))&lt;=IF(DAY(H$5)&gt;=29,EOMONTH(H$5,0),H$5+6),"●",""))</f>
        <v/>
      </c>
      <c r="I15" s="53" t="str">
        <f ca="1">IF(OR(NOT(ISNUMBER(I$5)),N(Plano!$G12)=0,N(Plano!$K12)=0),"",IF(Plano!$K12+Plano!$G12*MAX(0,ROUNDUP((I$5-Plano!$K12)/Plano!$G12,0))&lt;=IF(DAY(I$5)&gt;=29,EOMONTH(I$5,0),I$5+6),"●",""))</f>
        <v/>
      </c>
      <c r="J15" s="53" t="str">
        <f ca="1">IF(OR(NOT(ISNUMBER(J$5)),N(Plano!$G12)=0,N(Plano!$K12)=0),"",IF(Plano!$K12+Plano!$G12*MAX(0,ROUNDUP((J$5-Plano!$K12)/Plano!$G12,0))&lt;=IF(DAY(J$5)&gt;=29,EOMONTH(J$5,0),J$5+6),"●",""))</f>
        <v/>
      </c>
      <c r="K15" s="54" t="str">
        <f ca="1">IF(OR(NOT(ISNUMBER(K$5)),N(Plano!$G12)=0,N(Plano!$K12)=0),"",IF(Plano!$K12+Plano!$G12*MAX(0,ROUNDUP((K$5-Plano!$K12)/Plano!$G12,0))&lt;=IF(DAY(K$5)&gt;=29,EOMONTH(K$5,0),K$5+6),"●",""))</f>
        <v/>
      </c>
      <c r="L15" s="53" t="str">
        <f ca="1">IF(OR(NOT(ISNUMBER(L$5)),N(Plano!$G12)=0,N(Plano!$K12)=0),"",IF(Plano!$K12+Plano!$G12*MAX(0,ROUNDUP((L$5-Plano!$K12)/Plano!$G12,0))&lt;=IF(DAY(L$5)&gt;=29,EOMONTH(L$5,0),L$5+6),"●",""))</f>
        <v/>
      </c>
      <c r="M15" s="53" t="str">
        <f ca="1">IF(OR(NOT(ISNUMBER(M$5)),N(Plano!$G12)=0,N(Plano!$K12)=0),"",IF(Plano!$K12+Plano!$G12*MAX(0,ROUNDUP((M$5-Plano!$K12)/Plano!$G12,0))&lt;=IF(DAY(M$5)&gt;=29,EOMONTH(M$5,0),M$5+6),"●",""))</f>
        <v/>
      </c>
      <c r="N15" s="53" t="str">
        <f ca="1">IF(OR(NOT(ISNUMBER(N$5)),N(Plano!$G12)=0,N(Plano!$K12)=0),"",IF(Plano!$K12+Plano!$G12*MAX(0,ROUNDUP((N$5-Plano!$K12)/Plano!$G12,0))&lt;=IF(DAY(N$5)&gt;=29,EOMONTH(N$5,0),N$5+6),"●",""))</f>
        <v/>
      </c>
      <c r="O15" s="53" t="str">
        <f ca="1">IF(OR(NOT(ISNUMBER(O$5)),N(Plano!$G12)=0,N(Plano!$K12)=0),"",IF(Plano!$K12+Plano!$G12*MAX(0,ROUNDUP((O$5-Plano!$K12)/Plano!$G12,0))&lt;=IF(DAY(O$5)&gt;=29,EOMONTH(O$5,0),O$5+6),"●",""))</f>
        <v/>
      </c>
      <c r="P15" s="54" t="str">
        <f ca="1">IF(OR(NOT(ISNUMBER(P$5)),N(Plano!$G12)=0,N(Plano!$K12)=0),"",IF(Plano!$K12+Plano!$G12*MAX(0,ROUNDUP((P$5-Plano!$K12)/Plano!$G12,0))&lt;=IF(DAY(P$5)&gt;=29,EOMONTH(P$5,0),P$5+6),"●",""))</f>
        <v/>
      </c>
      <c r="Q15" s="53" t="str">
        <f ca="1">IF(OR(NOT(ISNUMBER(Q$5)),N(Plano!$G12)=0,N(Plano!$K12)=0),"",IF(Plano!$K12+Plano!$G12*MAX(0,ROUNDUP((Q$5-Plano!$K12)/Plano!$G12,0))&lt;=IF(DAY(Q$5)&gt;=29,EOMONTH(Q$5,0),Q$5+6),"●",""))</f>
        <v/>
      </c>
      <c r="R15" s="53" t="str">
        <f ca="1">IF(OR(NOT(ISNUMBER(R$5)),N(Plano!$G12)=0,N(Plano!$K12)=0),"",IF(Plano!$K12+Plano!$G12*MAX(0,ROUNDUP((R$5-Plano!$K12)/Plano!$G12,0))&lt;=IF(DAY(R$5)&gt;=29,EOMONTH(R$5,0),R$5+6),"●",""))</f>
        <v/>
      </c>
      <c r="S15" s="53" t="str">
        <f ca="1">IF(OR(NOT(ISNUMBER(S$5)),N(Plano!$G12)=0,N(Plano!$K12)=0),"",IF(Plano!$K12+Plano!$G12*MAX(0,ROUNDUP((S$5-Plano!$K12)/Plano!$G12,0))&lt;=IF(DAY(S$5)&gt;=29,EOMONTH(S$5,0),S$5+6),"●",""))</f>
        <v/>
      </c>
      <c r="T15" s="53" t="str">
        <f ca="1">IF(OR(NOT(ISNUMBER(T$5)),N(Plano!$G12)=0,N(Plano!$K12)=0),"",IF(Plano!$K12+Plano!$G12*MAX(0,ROUNDUP((T$5-Plano!$K12)/Plano!$G12,0))&lt;=IF(DAY(T$5)&gt;=29,EOMONTH(T$5,0),T$5+6),"●",""))</f>
        <v/>
      </c>
      <c r="U15" s="54" t="str">
        <f ca="1">IF(OR(NOT(ISNUMBER(U$5)),N(Plano!$G12)=0,N(Plano!$K12)=0),"",IF(Plano!$K12+Plano!$G12*MAX(0,ROUNDUP((U$5-Plano!$K12)/Plano!$G12,0))&lt;=IF(DAY(U$5)&gt;=29,EOMONTH(U$5,0),U$5+6),"●",""))</f>
        <v/>
      </c>
      <c r="V15" s="53" t="str">
        <f ca="1">IF(OR(NOT(ISNUMBER(V$5)),N(Plano!$G12)=0,N(Plano!$K12)=0),"",IF(Plano!$K12+Plano!$G12*MAX(0,ROUNDUP((V$5-Plano!$K12)/Plano!$G12,0))&lt;=IF(DAY(V$5)&gt;=29,EOMONTH(V$5,0),V$5+6),"●",""))</f>
        <v/>
      </c>
      <c r="W15" s="53" t="str">
        <f ca="1">IF(OR(NOT(ISNUMBER(W$5)),N(Plano!$G12)=0,N(Plano!$K12)=0),"",IF(Plano!$K12+Plano!$G12*MAX(0,ROUNDUP((W$5-Plano!$K12)/Plano!$G12,0))&lt;=IF(DAY(W$5)&gt;=29,EOMONTH(W$5,0),W$5+6),"●",""))</f>
        <v/>
      </c>
      <c r="X15" s="53" t="str">
        <f ca="1">IF(OR(NOT(ISNUMBER(X$5)),N(Plano!$G12)=0,N(Plano!$K12)=0),"",IF(Plano!$K12+Plano!$G12*MAX(0,ROUNDUP((X$5-Plano!$K12)/Plano!$G12,0))&lt;=IF(DAY(X$5)&gt;=29,EOMONTH(X$5,0),X$5+6),"●",""))</f>
        <v/>
      </c>
      <c r="Y15" s="53" t="str">
        <f ca="1">IF(OR(NOT(ISNUMBER(Y$5)),N(Plano!$G12)=0,N(Plano!$K12)=0),"",IF(Plano!$K12+Plano!$G12*MAX(0,ROUNDUP((Y$5-Plano!$K12)/Plano!$G12,0))&lt;=IF(DAY(Y$5)&gt;=29,EOMONTH(Y$5,0),Y$5+6),"●",""))</f>
        <v/>
      </c>
      <c r="Z15" s="54" t="str">
        <f ca="1">IF(OR(NOT(ISNUMBER(Z$5)),N(Plano!$G12)=0,N(Plano!$K12)=0),"",IF(Plano!$K12+Plano!$G12*MAX(0,ROUNDUP((Z$5-Plano!$K12)/Plano!$G12,0))&lt;=IF(DAY(Z$5)&gt;=29,EOMONTH(Z$5,0),Z$5+6),"●",""))</f>
        <v/>
      </c>
      <c r="AA15" s="53" t="str">
        <f ca="1">IF(OR(NOT(ISNUMBER(AA$5)),N(Plano!$G12)=0,N(Plano!$K12)=0),"",IF(Plano!$K12+Plano!$G12*MAX(0,ROUNDUP((AA$5-Plano!$K12)/Plano!$G12,0))&lt;=IF(DAY(AA$5)&gt;=29,EOMONTH(AA$5,0),AA$5+6),"●",""))</f>
        <v/>
      </c>
      <c r="AB15" s="53" t="str">
        <f ca="1">IF(OR(NOT(ISNUMBER(AB$5)),N(Plano!$G12)=0,N(Plano!$K12)=0),"",IF(Plano!$K12+Plano!$G12*MAX(0,ROUNDUP((AB$5-Plano!$K12)/Plano!$G12,0))&lt;=IF(DAY(AB$5)&gt;=29,EOMONTH(AB$5,0),AB$5+6),"●",""))</f>
        <v/>
      </c>
      <c r="AC15" s="53" t="str">
        <f ca="1">IF(OR(NOT(ISNUMBER(AC$5)),N(Plano!$G12)=0,N(Plano!$K12)=0),"",IF(Plano!$K12+Plano!$G12*MAX(0,ROUNDUP((AC$5-Plano!$K12)/Plano!$G12,0))&lt;=IF(DAY(AC$5)&gt;=29,EOMONTH(AC$5,0),AC$5+6),"●",""))</f>
        <v/>
      </c>
      <c r="AD15" s="53" t="str">
        <f ca="1">IF(OR(NOT(ISNUMBER(AD$5)),N(Plano!$G12)=0,N(Plano!$K12)=0),"",IF(Plano!$K12+Plano!$G12*MAX(0,ROUNDUP((AD$5-Plano!$K12)/Plano!$G12,0))&lt;=IF(DAY(AD$5)&gt;=29,EOMONTH(AD$5,0),AD$5+6),"●",""))</f>
        <v/>
      </c>
      <c r="AE15" s="54" t="str">
        <f ca="1">IF(OR(NOT(ISNUMBER(AE$5)),N(Plano!$G12)=0,N(Plano!$K12)=0),"",IF(Plano!$K12+Plano!$G12*MAX(0,ROUNDUP((AE$5-Plano!$K12)/Plano!$G12,0))&lt;=IF(DAY(AE$5)&gt;=29,EOMONTH(AE$5,0),AE$5+6),"●",""))</f>
        <v/>
      </c>
      <c r="AF15" s="53" t="str">
        <f ca="1">IF(OR(NOT(ISNUMBER(AF$5)),N(Plano!$G12)=0,N(Plano!$K12)=0),"",IF(Plano!$K12+Plano!$G12*MAX(0,ROUNDUP((AF$5-Plano!$K12)/Plano!$G12,0))&lt;=IF(DAY(AF$5)&gt;=29,EOMONTH(AF$5,0),AF$5+6),"●",""))</f>
        <v/>
      </c>
      <c r="AG15" s="53" t="str">
        <f ca="1">IF(OR(NOT(ISNUMBER(AG$5)),N(Plano!$G12)=0,N(Plano!$K12)=0),"",IF(Plano!$K12+Plano!$G12*MAX(0,ROUNDUP((AG$5-Plano!$K12)/Plano!$G12,0))&lt;=IF(DAY(AG$5)&gt;=29,EOMONTH(AG$5,0),AG$5+6),"●",""))</f>
        <v/>
      </c>
      <c r="AH15" s="53" t="str">
        <f ca="1">IF(OR(NOT(ISNUMBER(AH$5)),N(Plano!$G12)=0,N(Plano!$K12)=0),"",IF(Plano!$K12+Plano!$G12*MAX(0,ROUNDUP((AH$5-Plano!$K12)/Plano!$G12,0))&lt;=IF(DAY(AH$5)&gt;=29,EOMONTH(AH$5,0),AH$5+6),"●",""))</f>
        <v/>
      </c>
      <c r="AI15" s="53" t="str">
        <f ca="1">IF(OR(NOT(ISNUMBER(AI$5)),N(Plano!$G12)=0,N(Plano!$K12)=0),"",IF(Plano!$K12+Plano!$G12*MAX(0,ROUNDUP((AI$5-Plano!$K12)/Plano!$G12,0))&lt;=IF(DAY(AI$5)&gt;=29,EOMONTH(AI$5,0),AI$5+6),"●",""))</f>
        <v/>
      </c>
      <c r="AJ15" s="54" t="str">
        <f ca="1">IF(OR(NOT(ISNUMBER(AJ$5)),N(Plano!$G12)=0,N(Plano!$K12)=0),"",IF(Plano!$K12+Plano!$G12*MAX(0,ROUNDUP((AJ$5-Plano!$K12)/Plano!$G12,0))&lt;=IF(DAY(AJ$5)&gt;=29,EOMONTH(AJ$5,0),AJ$5+6),"●",""))</f>
        <v/>
      </c>
      <c r="AK15" s="53" t="str">
        <f ca="1">IF(OR(NOT(ISNUMBER(AK$5)),N(Plano!$G12)=0,N(Plano!$K12)=0),"",IF(Plano!$K12+Plano!$G12*MAX(0,ROUNDUP((AK$5-Plano!$K12)/Plano!$G12,0))&lt;=IF(DAY(AK$5)&gt;=29,EOMONTH(AK$5,0),AK$5+6),"●",""))</f>
        <v/>
      </c>
      <c r="AL15" s="53" t="str">
        <f ca="1">IF(OR(NOT(ISNUMBER(AL$5)),N(Plano!$G12)=0,N(Plano!$K12)=0),"",IF(Plano!$K12+Plano!$G12*MAX(0,ROUNDUP((AL$5-Plano!$K12)/Plano!$G12,0))&lt;=IF(DAY(AL$5)&gt;=29,EOMONTH(AL$5,0),AL$5+6),"●",""))</f>
        <v/>
      </c>
      <c r="AM15" s="53" t="str">
        <f ca="1">IF(OR(NOT(ISNUMBER(AM$5)),N(Plano!$G12)=0,N(Plano!$K12)=0),"",IF(Plano!$K12+Plano!$G12*MAX(0,ROUNDUP((AM$5-Plano!$K12)/Plano!$G12,0))&lt;=IF(DAY(AM$5)&gt;=29,EOMONTH(AM$5,0),AM$5+6),"●",""))</f>
        <v/>
      </c>
      <c r="AN15" s="53" t="str">
        <f ca="1">IF(OR(NOT(ISNUMBER(AN$5)),N(Plano!$G12)=0,N(Plano!$K12)=0),"",IF(Plano!$K12+Plano!$G12*MAX(0,ROUNDUP((AN$5-Plano!$K12)/Plano!$G12,0))&lt;=IF(DAY(AN$5)&gt;=29,EOMONTH(AN$5,0),AN$5+6),"●",""))</f>
        <v/>
      </c>
      <c r="AO15" s="54" t="str">
        <f ca="1">IF(OR(NOT(ISNUMBER(AO$5)),N(Plano!$G12)=0,N(Plano!$K12)=0),"",IF(Plano!$K12+Plano!$G12*MAX(0,ROUNDUP((AO$5-Plano!$K12)/Plano!$G12,0))&lt;=IF(DAY(AO$5)&gt;=29,EOMONTH(AO$5,0),AO$5+6),"●",""))</f>
        <v/>
      </c>
      <c r="AP15" s="53" t="str">
        <f ca="1">IF(OR(NOT(ISNUMBER(AP$5)),N(Plano!$G12)=0,N(Plano!$K12)=0),"",IF(Plano!$K12+Plano!$G12*MAX(0,ROUNDUP((AP$5-Plano!$K12)/Plano!$G12,0))&lt;=IF(DAY(AP$5)&gt;=29,EOMONTH(AP$5,0),AP$5+6),"●",""))</f>
        <v/>
      </c>
      <c r="AQ15" s="53" t="str">
        <f ca="1">IF(OR(NOT(ISNUMBER(AQ$5)),N(Plano!$G12)=0,N(Plano!$K12)=0),"",IF(Plano!$K12+Plano!$G12*MAX(0,ROUNDUP((AQ$5-Plano!$K12)/Plano!$G12,0))&lt;=IF(DAY(AQ$5)&gt;=29,EOMONTH(AQ$5,0),AQ$5+6),"●",""))</f>
        <v/>
      </c>
      <c r="AR15" s="53" t="str">
        <f ca="1">IF(OR(NOT(ISNUMBER(AR$5)),N(Plano!$G12)=0,N(Plano!$K12)=0),"",IF(Plano!$K12+Plano!$G12*MAX(0,ROUNDUP((AR$5-Plano!$K12)/Plano!$G12,0))&lt;=IF(DAY(AR$5)&gt;=29,EOMONTH(AR$5,0),AR$5+6),"●",""))</f>
        <v/>
      </c>
      <c r="AS15" s="53" t="str">
        <f ca="1">IF(OR(NOT(ISNUMBER(AS$5)),N(Plano!$G12)=0,N(Plano!$K12)=0),"",IF(Plano!$K12+Plano!$G12*MAX(0,ROUNDUP((AS$5-Plano!$K12)/Plano!$G12,0))&lt;=IF(DAY(AS$5)&gt;=29,EOMONTH(AS$5,0),AS$5+6),"●",""))</f>
        <v/>
      </c>
      <c r="AT15" s="54" t="str">
        <f ca="1">IF(OR(NOT(ISNUMBER(AT$5)),N(Plano!$G12)=0,N(Plano!$K12)=0),"",IF(Plano!$K12+Plano!$G12*MAX(0,ROUNDUP((AT$5-Plano!$K12)/Plano!$G12,0))&lt;=IF(DAY(AT$5)&gt;=29,EOMONTH(AT$5,0),AT$5+6),"●",""))</f>
        <v/>
      </c>
      <c r="AU15" s="53" t="str">
        <f ca="1">IF(OR(NOT(ISNUMBER(AU$5)),N(Plano!$G12)=0,N(Plano!$K12)=0),"",IF(Plano!$K12+Plano!$G12*MAX(0,ROUNDUP((AU$5-Plano!$K12)/Plano!$G12,0))&lt;=IF(DAY(AU$5)&gt;=29,EOMONTH(AU$5,0),AU$5+6),"●",""))</f>
        <v/>
      </c>
      <c r="AV15" s="53" t="str">
        <f ca="1">IF(OR(NOT(ISNUMBER(AV$5)),N(Plano!$G12)=0,N(Plano!$K12)=0),"",IF(Plano!$K12+Plano!$G12*MAX(0,ROUNDUP((AV$5-Plano!$K12)/Plano!$G12,0))&lt;=IF(DAY(AV$5)&gt;=29,EOMONTH(AV$5,0),AV$5+6),"●",""))</f>
        <v/>
      </c>
      <c r="AW15" s="53" t="str">
        <f ca="1">IF(OR(NOT(ISNUMBER(AW$5)),N(Plano!$G12)=0,N(Plano!$K12)=0),"",IF(Plano!$K12+Plano!$G12*MAX(0,ROUNDUP((AW$5-Plano!$K12)/Plano!$G12,0))&lt;=IF(DAY(AW$5)&gt;=29,EOMONTH(AW$5,0),AW$5+6),"●",""))</f>
        <v/>
      </c>
      <c r="AX15" s="53" t="str">
        <f ca="1">IF(OR(NOT(ISNUMBER(AX$5)),N(Plano!$G12)=0,N(Plano!$K12)=0),"",IF(Plano!$K12+Plano!$G12*MAX(0,ROUNDUP((AX$5-Plano!$K12)/Plano!$G12,0))&lt;=IF(DAY(AX$5)&gt;=29,EOMONTH(AX$5,0),AX$5+6),"●",""))</f>
        <v/>
      </c>
      <c r="AY15" s="54" t="str">
        <f ca="1">IF(OR(NOT(ISNUMBER(AY$5)),N(Plano!$G12)=0,N(Plano!$K12)=0),"",IF(Plano!$K12+Plano!$G12*MAX(0,ROUNDUP((AY$5-Plano!$K12)/Plano!$G12,0))&lt;=IF(DAY(AY$5)&gt;=29,EOMONTH(AY$5,0),AY$5+6),"●",""))</f>
        <v/>
      </c>
      <c r="AZ15" s="53" t="str">
        <f ca="1">IF(OR(NOT(ISNUMBER(AZ$5)),N(Plano!$G12)=0,N(Plano!$K12)=0),"",IF(Plano!$K12+Plano!$G12*MAX(0,ROUNDUP((AZ$5-Plano!$K12)/Plano!$G12,0))&lt;=IF(DAY(AZ$5)&gt;=29,EOMONTH(AZ$5,0),AZ$5+6),"●",""))</f>
        <v/>
      </c>
      <c r="BA15" s="53" t="str">
        <f ca="1">IF(OR(NOT(ISNUMBER(BA$5)),N(Plano!$G12)=0,N(Plano!$K12)=0),"",IF(Plano!$K12+Plano!$G12*MAX(0,ROUNDUP((BA$5-Plano!$K12)/Plano!$G12,0))&lt;=IF(DAY(BA$5)&gt;=29,EOMONTH(BA$5,0),BA$5+6),"●",""))</f>
        <v/>
      </c>
      <c r="BB15" s="53" t="str">
        <f ca="1">IF(OR(NOT(ISNUMBER(BB$5)),N(Plano!$G12)=0,N(Plano!$K12)=0),"",IF(Plano!$K12+Plano!$G12*MAX(0,ROUNDUP((BB$5-Plano!$K12)/Plano!$G12,0))&lt;=IF(DAY(BB$5)&gt;=29,EOMONTH(BB$5,0),BB$5+6),"●",""))</f>
        <v/>
      </c>
      <c r="BC15" s="53" t="str">
        <f ca="1">IF(OR(NOT(ISNUMBER(BC$5)),N(Plano!$G12)=0,N(Plano!$K12)=0),"",IF(Plano!$K12+Plano!$G12*MAX(0,ROUNDUP((BC$5-Plano!$K12)/Plano!$G12,0))&lt;=IF(DAY(BC$5)&gt;=29,EOMONTH(BC$5,0),BC$5+6),"●",""))</f>
        <v/>
      </c>
      <c r="BD15" s="54" t="str">
        <f ca="1">IF(OR(NOT(ISNUMBER(BD$5)),N(Plano!$G12)=0,N(Plano!$K12)=0),"",IF(Plano!$K12+Plano!$G12*MAX(0,ROUNDUP((BD$5-Plano!$K12)/Plano!$G12,0))&lt;=IF(DAY(BD$5)&gt;=29,EOMONTH(BD$5,0),BD$5+6),"●",""))</f>
        <v/>
      </c>
      <c r="BE15" s="53" t="str">
        <f ca="1">IF(OR(NOT(ISNUMBER(BE$5)),N(Plano!$G12)=0,N(Plano!$K12)=0),"",IF(Plano!$K12+Plano!$G12*MAX(0,ROUNDUP((BE$5-Plano!$K12)/Plano!$G12,0))&lt;=IF(DAY(BE$5)&gt;=29,EOMONTH(BE$5,0),BE$5+6),"●",""))</f>
        <v/>
      </c>
      <c r="BF15" s="53" t="str">
        <f ca="1">IF(OR(NOT(ISNUMBER(BF$5)),N(Plano!$G12)=0,N(Plano!$K12)=0),"",IF(Plano!$K12+Plano!$G12*MAX(0,ROUNDUP((BF$5-Plano!$K12)/Plano!$G12,0))&lt;=IF(DAY(BF$5)&gt;=29,EOMONTH(BF$5,0),BF$5+6),"●",""))</f>
        <v/>
      </c>
      <c r="BG15" s="53" t="str">
        <f ca="1">IF(OR(NOT(ISNUMBER(BG$5)),N(Plano!$G12)=0,N(Plano!$K12)=0),"",IF(Plano!$K12+Plano!$G12*MAX(0,ROUNDUP((BG$5-Plano!$K12)/Plano!$G12,0))&lt;=IF(DAY(BG$5)&gt;=29,EOMONTH(BG$5,0),BG$5+6),"●",""))</f>
        <v/>
      </c>
      <c r="BH15" s="53" t="str">
        <f ca="1">IF(OR(NOT(ISNUMBER(BH$5)),N(Plano!$G12)=0,N(Plano!$K12)=0),"",IF(Plano!$K12+Plano!$G12*MAX(0,ROUNDUP((BH$5-Plano!$K12)/Plano!$G12,0))&lt;=IF(DAY(BH$5)&gt;=29,EOMONTH(BH$5,0),BH$5+6),"●",""))</f>
        <v/>
      </c>
      <c r="BI15" s="54" t="str">
        <f ca="1">IF(OR(NOT(ISNUMBER(BI$5)),N(Plano!$G12)=0,N(Plano!$K12)=0),"",IF(Plano!$K12+Plano!$G12*MAX(0,ROUNDUP((BI$5-Plano!$K12)/Plano!$G12,0))&lt;=IF(DAY(BI$5)&gt;=29,EOMONTH(BI$5,0),BI$5+6),"●",""))</f>
        <v/>
      </c>
      <c r="BJ15" s="53" t="str">
        <f ca="1">IF(OR(NOT(ISNUMBER(BJ$5)),N(Plano!$G12)=0,N(Plano!$K12)=0),"",IF(Plano!$K12+Plano!$G12*MAX(0,ROUNDUP((BJ$5-Plano!$K12)/Plano!$G12,0))&lt;=IF(DAY(BJ$5)&gt;=29,EOMONTH(BJ$5,0),BJ$5+6),"●",""))</f>
        <v/>
      </c>
      <c r="BK15" s="53" t="str">
        <f ca="1">IF(OR(NOT(ISNUMBER(BK$5)),N(Plano!$G12)=0,N(Plano!$K12)=0),"",IF(Plano!$K12+Plano!$G12*MAX(0,ROUNDUP((BK$5-Plano!$K12)/Plano!$G12,0))&lt;=IF(DAY(BK$5)&gt;=29,EOMONTH(BK$5,0),BK$5+6),"●",""))</f>
        <v/>
      </c>
      <c r="BL15" s="53" t="str">
        <f ca="1">IF(OR(NOT(ISNUMBER(BL$5)),N(Plano!$G12)=0,N(Plano!$K12)=0),"",IF(Plano!$K12+Plano!$G12*MAX(0,ROUNDUP((BL$5-Plano!$K12)/Plano!$G12,0))&lt;=IF(DAY(BL$5)&gt;=29,EOMONTH(BL$5,0),BL$5+6),"●",""))</f>
        <v/>
      </c>
      <c r="BM15" s="55" t="str">
        <f ca="1">IF(OR(NOT(ISNUMBER(BM$5)),N(Plano!$G12)=0,N(Plano!$K12)=0),"",IF(Plano!$K12+Plano!$G12*MAX(0,ROUNDUP((BM$5-Plano!$K12)/Plano!$G12,0))&lt;=IF(DAY(BM$5)&gt;=29,EOMONTH(BM$5,0),BM$5+6),"●",""))</f>
        <v/>
      </c>
    </row>
    <row r="16" spans="1:65" ht="18" customHeight="1">
      <c r="A16" s="40">
        <f>Plano!A13</f>
        <v>9</v>
      </c>
      <c r="B16" s="51" t="str">
        <f>IF(Plano!B13="","",Plano!B13)</f>
        <v/>
      </c>
      <c r="C16" s="20" t="str">
        <f>IF(B16="","",IFERROR(INDEX(tb_pcm_ativos[descricao_ativo],MATCH(B16,tb_pcm_ativos[tag],0)),"fora do cadastro"))</f>
        <v/>
      </c>
      <c r="D16" s="20" t="str">
        <f>IF(Plano!E13="","",Plano!E13)</f>
        <v/>
      </c>
      <c r="E16" s="52" t="str">
        <f>IF(Plano!G13="","",Plano!G13)</f>
        <v/>
      </c>
      <c r="F16" s="53" t="str">
        <f ca="1">IF(OR(NOT(ISNUMBER(F$5)),N(Plano!$G13)=0,N(Plano!$K13)=0),"",IF(Plano!$K13+Plano!$G13*MAX(0,ROUNDUP((F$5-Plano!$K13)/Plano!$G13,0))&lt;=IF(DAY(F$5)&gt;=29,EOMONTH(F$5,0),F$5+6),"●",""))</f>
        <v/>
      </c>
      <c r="G16" s="53" t="str">
        <f ca="1">IF(OR(NOT(ISNUMBER(G$5)),N(Plano!$G13)=0,N(Plano!$K13)=0),"",IF(Plano!$K13+Plano!$G13*MAX(0,ROUNDUP((G$5-Plano!$K13)/Plano!$G13,0))&lt;=IF(DAY(G$5)&gt;=29,EOMONTH(G$5,0),G$5+6),"●",""))</f>
        <v/>
      </c>
      <c r="H16" s="53" t="str">
        <f ca="1">IF(OR(NOT(ISNUMBER(H$5)),N(Plano!$G13)=0,N(Plano!$K13)=0),"",IF(Plano!$K13+Plano!$G13*MAX(0,ROUNDUP((H$5-Plano!$K13)/Plano!$G13,0))&lt;=IF(DAY(H$5)&gt;=29,EOMONTH(H$5,0),H$5+6),"●",""))</f>
        <v/>
      </c>
      <c r="I16" s="53" t="str">
        <f ca="1">IF(OR(NOT(ISNUMBER(I$5)),N(Plano!$G13)=0,N(Plano!$K13)=0),"",IF(Plano!$K13+Plano!$G13*MAX(0,ROUNDUP((I$5-Plano!$K13)/Plano!$G13,0))&lt;=IF(DAY(I$5)&gt;=29,EOMONTH(I$5,0),I$5+6),"●",""))</f>
        <v/>
      </c>
      <c r="J16" s="53" t="str">
        <f ca="1">IF(OR(NOT(ISNUMBER(J$5)),N(Plano!$G13)=0,N(Plano!$K13)=0),"",IF(Plano!$K13+Plano!$G13*MAX(0,ROUNDUP((J$5-Plano!$K13)/Plano!$G13,0))&lt;=IF(DAY(J$5)&gt;=29,EOMONTH(J$5,0),J$5+6),"●",""))</f>
        <v/>
      </c>
      <c r="K16" s="54" t="str">
        <f ca="1">IF(OR(NOT(ISNUMBER(K$5)),N(Plano!$G13)=0,N(Plano!$K13)=0),"",IF(Plano!$K13+Plano!$G13*MAX(0,ROUNDUP((K$5-Plano!$K13)/Plano!$G13,0))&lt;=IF(DAY(K$5)&gt;=29,EOMONTH(K$5,0),K$5+6),"●",""))</f>
        <v/>
      </c>
      <c r="L16" s="53" t="str">
        <f ca="1">IF(OR(NOT(ISNUMBER(L$5)),N(Plano!$G13)=0,N(Plano!$K13)=0),"",IF(Plano!$K13+Plano!$G13*MAX(0,ROUNDUP((L$5-Plano!$K13)/Plano!$G13,0))&lt;=IF(DAY(L$5)&gt;=29,EOMONTH(L$5,0),L$5+6),"●",""))</f>
        <v/>
      </c>
      <c r="M16" s="53" t="str">
        <f ca="1">IF(OR(NOT(ISNUMBER(M$5)),N(Plano!$G13)=0,N(Plano!$K13)=0),"",IF(Plano!$K13+Plano!$G13*MAX(0,ROUNDUP((M$5-Plano!$K13)/Plano!$G13,0))&lt;=IF(DAY(M$5)&gt;=29,EOMONTH(M$5,0),M$5+6),"●",""))</f>
        <v/>
      </c>
      <c r="N16" s="53" t="str">
        <f ca="1">IF(OR(NOT(ISNUMBER(N$5)),N(Plano!$G13)=0,N(Plano!$K13)=0),"",IF(Plano!$K13+Plano!$G13*MAX(0,ROUNDUP((N$5-Plano!$K13)/Plano!$G13,0))&lt;=IF(DAY(N$5)&gt;=29,EOMONTH(N$5,0),N$5+6),"●",""))</f>
        <v/>
      </c>
      <c r="O16" s="53" t="str">
        <f ca="1">IF(OR(NOT(ISNUMBER(O$5)),N(Plano!$G13)=0,N(Plano!$K13)=0),"",IF(Plano!$K13+Plano!$G13*MAX(0,ROUNDUP((O$5-Plano!$K13)/Plano!$G13,0))&lt;=IF(DAY(O$5)&gt;=29,EOMONTH(O$5,0),O$5+6),"●",""))</f>
        <v/>
      </c>
      <c r="P16" s="54" t="str">
        <f ca="1">IF(OR(NOT(ISNUMBER(P$5)),N(Plano!$G13)=0,N(Plano!$K13)=0),"",IF(Plano!$K13+Plano!$G13*MAX(0,ROUNDUP((P$5-Plano!$K13)/Plano!$G13,0))&lt;=IF(DAY(P$5)&gt;=29,EOMONTH(P$5,0),P$5+6),"●",""))</f>
        <v/>
      </c>
      <c r="Q16" s="53" t="str">
        <f ca="1">IF(OR(NOT(ISNUMBER(Q$5)),N(Plano!$G13)=0,N(Plano!$K13)=0),"",IF(Plano!$K13+Plano!$G13*MAX(0,ROUNDUP((Q$5-Plano!$K13)/Plano!$G13,0))&lt;=IF(DAY(Q$5)&gt;=29,EOMONTH(Q$5,0),Q$5+6),"●",""))</f>
        <v/>
      </c>
      <c r="R16" s="53" t="str">
        <f ca="1">IF(OR(NOT(ISNUMBER(R$5)),N(Plano!$G13)=0,N(Plano!$K13)=0),"",IF(Plano!$K13+Plano!$G13*MAX(0,ROUNDUP((R$5-Plano!$K13)/Plano!$G13,0))&lt;=IF(DAY(R$5)&gt;=29,EOMONTH(R$5,0),R$5+6),"●",""))</f>
        <v/>
      </c>
      <c r="S16" s="53" t="str">
        <f ca="1">IF(OR(NOT(ISNUMBER(S$5)),N(Plano!$G13)=0,N(Plano!$K13)=0),"",IF(Plano!$K13+Plano!$G13*MAX(0,ROUNDUP((S$5-Plano!$K13)/Plano!$G13,0))&lt;=IF(DAY(S$5)&gt;=29,EOMONTH(S$5,0),S$5+6),"●",""))</f>
        <v/>
      </c>
      <c r="T16" s="53" t="str">
        <f ca="1">IF(OR(NOT(ISNUMBER(T$5)),N(Plano!$G13)=0,N(Plano!$K13)=0),"",IF(Plano!$K13+Plano!$G13*MAX(0,ROUNDUP((T$5-Plano!$K13)/Plano!$G13,0))&lt;=IF(DAY(T$5)&gt;=29,EOMONTH(T$5,0),T$5+6),"●",""))</f>
        <v/>
      </c>
      <c r="U16" s="54" t="str">
        <f ca="1">IF(OR(NOT(ISNUMBER(U$5)),N(Plano!$G13)=0,N(Plano!$K13)=0),"",IF(Plano!$K13+Plano!$G13*MAX(0,ROUNDUP((U$5-Plano!$K13)/Plano!$G13,0))&lt;=IF(DAY(U$5)&gt;=29,EOMONTH(U$5,0),U$5+6),"●",""))</f>
        <v/>
      </c>
      <c r="V16" s="53" t="str">
        <f ca="1">IF(OR(NOT(ISNUMBER(V$5)),N(Plano!$G13)=0,N(Plano!$K13)=0),"",IF(Plano!$K13+Plano!$G13*MAX(0,ROUNDUP((V$5-Plano!$K13)/Plano!$G13,0))&lt;=IF(DAY(V$5)&gt;=29,EOMONTH(V$5,0),V$5+6),"●",""))</f>
        <v/>
      </c>
      <c r="W16" s="53" t="str">
        <f ca="1">IF(OR(NOT(ISNUMBER(W$5)),N(Plano!$G13)=0,N(Plano!$K13)=0),"",IF(Plano!$K13+Plano!$G13*MAX(0,ROUNDUP((W$5-Plano!$K13)/Plano!$G13,0))&lt;=IF(DAY(W$5)&gt;=29,EOMONTH(W$5,0),W$5+6),"●",""))</f>
        <v/>
      </c>
      <c r="X16" s="53" t="str">
        <f ca="1">IF(OR(NOT(ISNUMBER(X$5)),N(Plano!$G13)=0,N(Plano!$K13)=0),"",IF(Plano!$K13+Plano!$G13*MAX(0,ROUNDUP((X$5-Plano!$K13)/Plano!$G13,0))&lt;=IF(DAY(X$5)&gt;=29,EOMONTH(X$5,0),X$5+6),"●",""))</f>
        <v/>
      </c>
      <c r="Y16" s="53" t="str">
        <f ca="1">IF(OR(NOT(ISNUMBER(Y$5)),N(Plano!$G13)=0,N(Plano!$K13)=0),"",IF(Plano!$K13+Plano!$G13*MAX(0,ROUNDUP((Y$5-Plano!$K13)/Plano!$G13,0))&lt;=IF(DAY(Y$5)&gt;=29,EOMONTH(Y$5,0),Y$5+6),"●",""))</f>
        <v/>
      </c>
      <c r="Z16" s="54" t="str">
        <f ca="1">IF(OR(NOT(ISNUMBER(Z$5)),N(Plano!$G13)=0,N(Plano!$K13)=0),"",IF(Plano!$K13+Plano!$G13*MAX(0,ROUNDUP((Z$5-Plano!$K13)/Plano!$G13,0))&lt;=IF(DAY(Z$5)&gt;=29,EOMONTH(Z$5,0),Z$5+6),"●",""))</f>
        <v/>
      </c>
      <c r="AA16" s="53" t="str">
        <f ca="1">IF(OR(NOT(ISNUMBER(AA$5)),N(Plano!$G13)=0,N(Plano!$K13)=0),"",IF(Plano!$K13+Plano!$G13*MAX(0,ROUNDUP((AA$5-Plano!$K13)/Plano!$G13,0))&lt;=IF(DAY(AA$5)&gt;=29,EOMONTH(AA$5,0),AA$5+6),"●",""))</f>
        <v/>
      </c>
      <c r="AB16" s="53" t="str">
        <f ca="1">IF(OR(NOT(ISNUMBER(AB$5)),N(Plano!$G13)=0,N(Plano!$K13)=0),"",IF(Plano!$K13+Plano!$G13*MAX(0,ROUNDUP((AB$5-Plano!$K13)/Plano!$G13,0))&lt;=IF(DAY(AB$5)&gt;=29,EOMONTH(AB$5,0),AB$5+6),"●",""))</f>
        <v/>
      </c>
      <c r="AC16" s="53" t="str">
        <f ca="1">IF(OR(NOT(ISNUMBER(AC$5)),N(Plano!$G13)=0,N(Plano!$K13)=0),"",IF(Plano!$K13+Plano!$G13*MAX(0,ROUNDUP((AC$5-Plano!$K13)/Plano!$G13,0))&lt;=IF(DAY(AC$5)&gt;=29,EOMONTH(AC$5,0),AC$5+6),"●",""))</f>
        <v/>
      </c>
      <c r="AD16" s="53" t="str">
        <f ca="1">IF(OR(NOT(ISNUMBER(AD$5)),N(Plano!$G13)=0,N(Plano!$K13)=0),"",IF(Plano!$K13+Plano!$G13*MAX(0,ROUNDUP((AD$5-Plano!$K13)/Plano!$G13,0))&lt;=IF(DAY(AD$5)&gt;=29,EOMONTH(AD$5,0),AD$5+6),"●",""))</f>
        <v/>
      </c>
      <c r="AE16" s="54" t="str">
        <f ca="1">IF(OR(NOT(ISNUMBER(AE$5)),N(Plano!$G13)=0,N(Plano!$K13)=0),"",IF(Plano!$K13+Plano!$G13*MAX(0,ROUNDUP((AE$5-Plano!$K13)/Plano!$G13,0))&lt;=IF(DAY(AE$5)&gt;=29,EOMONTH(AE$5,0),AE$5+6),"●",""))</f>
        <v/>
      </c>
      <c r="AF16" s="53" t="str">
        <f ca="1">IF(OR(NOT(ISNUMBER(AF$5)),N(Plano!$G13)=0,N(Plano!$K13)=0),"",IF(Plano!$K13+Plano!$G13*MAX(0,ROUNDUP((AF$5-Plano!$K13)/Plano!$G13,0))&lt;=IF(DAY(AF$5)&gt;=29,EOMONTH(AF$5,0),AF$5+6),"●",""))</f>
        <v/>
      </c>
      <c r="AG16" s="53" t="str">
        <f ca="1">IF(OR(NOT(ISNUMBER(AG$5)),N(Plano!$G13)=0,N(Plano!$K13)=0),"",IF(Plano!$K13+Plano!$G13*MAX(0,ROUNDUP((AG$5-Plano!$K13)/Plano!$G13,0))&lt;=IF(DAY(AG$5)&gt;=29,EOMONTH(AG$5,0),AG$5+6),"●",""))</f>
        <v/>
      </c>
      <c r="AH16" s="53" t="str">
        <f ca="1">IF(OR(NOT(ISNUMBER(AH$5)),N(Plano!$G13)=0,N(Plano!$K13)=0),"",IF(Plano!$K13+Plano!$G13*MAX(0,ROUNDUP((AH$5-Plano!$K13)/Plano!$G13,0))&lt;=IF(DAY(AH$5)&gt;=29,EOMONTH(AH$5,0),AH$5+6),"●",""))</f>
        <v/>
      </c>
      <c r="AI16" s="53" t="str">
        <f ca="1">IF(OR(NOT(ISNUMBER(AI$5)),N(Plano!$G13)=0,N(Plano!$K13)=0),"",IF(Plano!$K13+Plano!$G13*MAX(0,ROUNDUP((AI$5-Plano!$K13)/Plano!$G13,0))&lt;=IF(DAY(AI$5)&gt;=29,EOMONTH(AI$5,0),AI$5+6),"●",""))</f>
        <v/>
      </c>
      <c r="AJ16" s="54" t="str">
        <f ca="1">IF(OR(NOT(ISNUMBER(AJ$5)),N(Plano!$G13)=0,N(Plano!$K13)=0),"",IF(Plano!$K13+Plano!$G13*MAX(0,ROUNDUP((AJ$5-Plano!$K13)/Plano!$G13,0))&lt;=IF(DAY(AJ$5)&gt;=29,EOMONTH(AJ$5,0),AJ$5+6),"●",""))</f>
        <v/>
      </c>
      <c r="AK16" s="53" t="str">
        <f ca="1">IF(OR(NOT(ISNUMBER(AK$5)),N(Plano!$G13)=0,N(Plano!$K13)=0),"",IF(Plano!$K13+Plano!$G13*MAX(0,ROUNDUP((AK$5-Plano!$K13)/Plano!$G13,0))&lt;=IF(DAY(AK$5)&gt;=29,EOMONTH(AK$5,0),AK$5+6),"●",""))</f>
        <v/>
      </c>
      <c r="AL16" s="53" t="str">
        <f ca="1">IF(OR(NOT(ISNUMBER(AL$5)),N(Plano!$G13)=0,N(Plano!$K13)=0),"",IF(Plano!$K13+Plano!$G13*MAX(0,ROUNDUP((AL$5-Plano!$K13)/Plano!$G13,0))&lt;=IF(DAY(AL$5)&gt;=29,EOMONTH(AL$5,0),AL$5+6),"●",""))</f>
        <v/>
      </c>
      <c r="AM16" s="53" t="str">
        <f ca="1">IF(OR(NOT(ISNUMBER(AM$5)),N(Plano!$G13)=0,N(Plano!$K13)=0),"",IF(Plano!$K13+Plano!$G13*MAX(0,ROUNDUP((AM$5-Plano!$K13)/Plano!$G13,0))&lt;=IF(DAY(AM$5)&gt;=29,EOMONTH(AM$5,0),AM$5+6),"●",""))</f>
        <v/>
      </c>
      <c r="AN16" s="53" t="str">
        <f ca="1">IF(OR(NOT(ISNUMBER(AN$5)),N(Plano!$G13)=0,N(Plano!$K13)=0),"",IF(Plano!$K13+Plano!$G13*MAX(0,ROUNDUP((AN$5-Plano!$K13)/Plano!$G13,0))&lt;=IF(DAY(AN$5)&gt;=29,EOMONTH(AN$5,0),AN$5+6),"●",""))</f>
        <v/>
      </c>
      <c r="AO16" s="54" t="str">
        <f ca="1">IF(OR(NOT(ISNUMBER(AO$5)),N(Plano!$G13)=0,N(Plano!$K13)=0),"",IF(Plano!$K13+Plano!$G13*MAX(0,ROUNDUP((AO$5-Plano!$K13)/Plano!$G13,0))&lt;=IF(DAY(AO$5)&gt;=29,EOMONTH(AO$5,0),AO$5+6),"●",""))</f>
        <v/>
      </c>
      <c r="AP16" s="53" t="str">
        <f ca="1">IF(OR(NOT(ISNUMBER(AP$5)),N(Plano!$G13)=0,N(Plano!$K13)=0),"",IF(Plano!$K13+Plano!$G13*MAX(0,ROUNDUP((AP$5-Plano!$K13)/Plano!$G13,0))&lt;=IF(DAY(AP$5)&gt;=29,EOMONTH(AP$5,0),AP$5+6),"●",""))</f>
        <v/>
      </c>
      <c r="AQ16" s="53" t="str">
        <f ca="1">IF(OR(NOT(ISNUMBER(AQ$5)),N(Plano!$G13)=0,N(Plano!$K13)=0),"",IF(Plano!$K13+Plano!$G13*MAX(0,ROUNDUP((AQ$5-Plano!$K13)/Plano!$G13,0))&lt;=IF(DAY(AQ$5)&gt;=29,EOMONTH(AQ$5,0),AQ$5+6),"●",""))</f>
        <v/>
      </c>
      <c r="AR16" s="53" t="str">
        <f ca="1">IF(OR(NOT(ISNUMBER(AR$5)),N(Plano!$G13)=0,N(Plano!$K13)=0),"",IF(Plano!$K13+Plano!$G13*MAX(0,ROUNDUP((AR$5-Plano!$K13)/Plano!$G13,0))&lt;=IF(DAY(AR$5)&gt;=29,EOMONTH(AR$5,0),AR$5+6),"●",""))</f>
        <v/>
      </c>
      <c r="AS16" s="53" t="str">
        <f ca="1">IF(OR(NOT(ISNUMBER(AS$5)),N(Plano!$G13)=0,N(Plano!$K13)=0),"",IF(Plano!$K13+Plano!$G13*MAX(0,ROUNDUP((AS$5-Plano!$K13)/Plano!$G13,0))&lt;=IF(DAY(AS$5)&gt;=29,EOMONTH(AS$5,0),AS$5+6),"●",""))</f>
        <v/>
      </c>
      <c r="AT16" s="54" t="str">
        <f ca="1">IF(OR(NOT(ISNUMBER(AT$5)),N(Plano!$G13)=0,N(Plano!$K13)=0),"",IF(Plano!$K13+Plano!$G13*MAX(0,ROUNDUP((AT$5-Plano!$K13)/Plano!$G13,0))&lt;=IF(DAY(AT$5)&gt;=29,EOMONTH(AT$5,0),AT$5+6),"●",""))</f>
        <v/>
      </c>
      <c r="AU16" s="53" t="str">
        <f ca="1">IF(OR(NOT(ISNUMBER(AU$5)),N(Plano!$G13)=0,N(Plano!$K13)=0),"",IF(Plano!$K13+Plano!$G13*MAX(0,ROUNDUP((AU$5-Plano!$K13)/Plano!$G13,0))&lt;=IF(DAY(AU$5)&gt;=29,EOMONTH(AU$5,0),AU$5+6),"●",""))</f>
        <v/>
      </c>
      <c r="AV16" s="53" t="str">
        <f ca="1">IF(OR(NOT(ISNUMBER(AV$5)),N(Plano!$G13)=0,N(Plano!$K13)=0),"",IF(Plano!$K13+Plano!$G13*MAX(0,ROUNDUP((AV$5-Plano!$K13)/Plano!$G13,0))&lt;=IF(DAY(AV$5)&gt;=29,EOMONTH(AV$5,0),AV$5+6),"●",""))</f>
        <v/>
      </c>
      <c r="AW16" s="53" t="str">
        <f ca="1">IF(OR(NOT(ISNUMBER(AW$5)),N(Plano!$G13)=0,N(Plano!$K13)=0),"",IF(Plano!$K13+Plano!$G13*MAX(0,ROUNDUP((AW$5-Plano!$K13)/Plano!$G13,0))&lt;=IF(DAY(AW$5)&gt;=29,EOMONTH(AW$5,0),AW$5+6),"●",""))</f>
        <v/>
      </c>
      <c r="AX16" s="53" t="str">
        <f ca="1">IF(OR(NOT(ISNUMBER(AX$5)),N(Plano!$G13)=0,N(Plano!$K13)=0),"",IF(Plano!$K13+Plano!$G13*MAX(0,ROUNDUP((AX$5-Plano!$K13)/Plano!$G13,0))&lt;=IF(DAY(AX$5)&gt;=29,EOMONTH(AX$5,0),AX$5+6),"●",""))</f>
        <v/>
      </c>
      <c r="AY16" s="54" t="str">
        <f ca="1">IF(OR(NOT(ISNUMBER(AY$5)),N(Plano!$G13)=0,N(Plano!$K13)=0),"",IF(Plano!$K13+Plano!$G13*MAX(0,ROUNDUP((AY$5-Plano!$K13)/Plano!$G13,0))&lt;=IF(DAY(AY$5)&gt;=29,EOMONTH(AY$5,0),AY$5+6),"●",""))</f>
        <v/>
      </c>
      <c r="AZ16" s="53" t="str">
        <f ca="1">IF(OR(NOT(ISNUMBER(AZ$5)),N(Plano!$G13)=0,N(Plano!$K13)=0),"",IF(Plano!$K13+Plano!$G13*MAX(0,ROUNDUP((AZ$5-Plano!$K13)/Plano!$G13,0))&lt;=IF(DAY(AZ$5)&gt;=29,EOMONTH(AZ$5,0),AZ$5+6),"●",""))</f>
        <v/>
      </c>
      <c r="BA16" s="53" t="str">
        <f ca="1">IF(OR(NOT(ISNUMBER(BA$5)),N(Plano!$G13)=0,N(Plano!$K13)=0),"",IF(Plano!$K13+Plano!$G13*MAX(0,ROUNDUP((BA$5-Plano!$K13)/Plano!$G13,0))&lt;=IF(DAY(BA$5)&gt;=29,EOMONTH(BA$5,0),BA$5+6),"●",""))</f>
        <v/>
      </c>
      <c r="BB16" s="53" t="str">
        <f ca="1">IF(OR(NOT(ISNUMBER(BB$5)),N(Plano!$G13)=0,N(Plano!$K13)=0),"",IF(Plano!$K13+Plano!$G13*MAX(0,ROUNDUP((BB$5-Plano!$K13)/Plano!$G13,0))&lt;=IF(DAY(BB$5)&gt;=29,EOMONTH(BB$5,0),BB$5+6),"●",""))</f>
        <v/>
      </c>
      <c r="BC16" s="53" t="str">
        <f ca="1">IF(OR(NOT(ISNUMBER(BC$5)),N(Plano!$G13)=0,N(Plano!$K13)=0),"",IF(Plano!$K13+Plano!$G13*MAX(0,ROUNDUP((BC$5-Plano!$K13)/Plano!$G13,0))&lt;=IF(DAY(BC$5)&gt;=29,EOMONTH(BC$5,0),BC$5+6),"●",""))</f>
        <v/>
      </c>
      <c r="BD16" s="54" t="str">
        <f ca="1">IF(OR(NOT(ISNUMBER(BD$5)),N(Plano!$G13)=0,N(Plano!$K13)=0),"",IF(Plano!$K13+Plano!$G13*MAX(0,ROUNDUP((BD$5-Plano!$K13)/Plano!$G13,0))&lt;=IF(DAY(BD$5)&gt;=29,EOMONTH(BD$5,0),BD$5+6),"●",""))</f>
        <v/>
      </c>
      <c r="BE16" s="53" t="str">
        <f ca="1">IF(OR(NOT(ISNUMBER(BE$5)),N(Plano!$G13)=0,N(Plano!$K13)=0),"",IF(Plano!$K13+Plano!$G13*MAX(0,ROUNDUP((BE$5-Plano!$K13)/Plano!$G13,0))&lt;=IF(DAY(BE$5)&gt;=29,EOMONTH(BE$5,0),BE$5+6),"●",""))</f>
        <v/>
      </c>
      <c r="BF16" s="53" t="str">
        <f ca="1">IF(OR(NOT(ISNUMBER(BF$5)),N(Plano!$G13)=0,N(Plano!$K13)=0),"",IF(Plano!$K13+Plano!$G13*MAX(0,ROUNDUP((BF$5-Plano!$K13)/Plano!$G13,0))&lt;=IF(DAY(BF$5)&gt;=29,EOMONTH(BF$5,0),BF$5+6),"●",""))</f>
        <v/>
      </c>
      <c r="BG16" s="53" t="str">
        <f ca="1">IF(OR(NOT(ISNUMBER(BG$5)),N(Plano!$G13)=0,N(Plano!$K13)=0),"",IF(Plano!$K13+Plano!$G13*MAX(0,ROUNDUP((BG$5-Plano!$K13)/Plano!$G13,0))&lt;=IF(DAY(BG$5)&gt;=29,EOMONTH(BG$5,0),BG$5+6),"●",""))</f>
        <v/>
      </c>
      <c r="BH16" s="53" t="str">
        <f ca="1">IF(OR(NOT(ISNUMBER(BH$5)),N(Plano!$G13)=0,N(Plano!$K13)=0),"",IF(Plano!$K13+Plano!$G13*MAX(0,ROUNDUP((BH$5-Plano!$K13)/Plano!$G13,0))&lt;=IF(DAY(BH$5)&gt;=29,EOMONTH(BH$5,0),BH$5+6),"●",""))</f>
        <v/>
      </c>
      <c r="BI16" s="54" t="str">
        <f ca="1">IF(OR(NOT(ISNUMBER(BI$5)),N(Plano!$G13)=0,N(Plano!$K13)=0),"",IF(Plano!$K13+Plano!$G13*MAX(0,ROUNDUP((BI$5-Plano!$K13)/Plano!$G13,0))&lt;=IF(DAY(BI$5)&gt;=29,EOMONTH(BI$5,0),BI$5+6),"●",""))</f>
        <v/>
      </c>
      <c r="BJ16" s="53" t="str">
        <f ca="1">IF(OR(NOT(ISNUMBER(BJ$5)),N(Plano!$G13)=0,N(Plano!$K13)=0),"",IF(Plano!$K13+Plano!$G13*MAX(0,ROUNDUP((BJ$5-Plano!$K13)/Plano!$G13,0))&lt;=IF(DAY(BJ$5)&gt;=29,EOMONTH(BJ$5,0),BJ$5+6),"●",""))</f>
        <v/>
      </c>
      <c r="BK16" s="53" t="str">
        <f ca="1">IF(OR(NOT(ISNUMBER(BK$5)),N(Plano!$G13)=0,N(Plano!$K13)=0),"",IF(Plano!$K13+Plano!$G13*MAX(0,ROUNDUP((BK$5-Plano!$K13)/Plano!$G13,0))&lt;=IF(DAY(BK$5)&gt;=29,EOMONTH(BK$5,0),BK$5+6),"●",""))</f>
        <v/>
      </c>
      <c r="BL16" s="53" t="str">
        <f ca="1">IF(OR(NOT(ISNUMBER(BL$5)),N(Plano!$G13)=0,N(Plano!$K13)=0),"",IF(Plano!$K13+Plano!$G13*MAX(0,ROUNDUP((BL$5-Plano!$K13)/Plano!$G13,0))&lt;=IF(DAY(BL$5)&gt;=29,EOMONTH(BL$5,0),BL$5+6),"●",""))</f>
        <v/>
      </c>
      <c r="BM16" s="55" t="str">
        <f ca="1">IF(OR(NOT(ISNUMBER(BM$5)),N(Plano!$G13)=0,N(Plano!$K13)=0),"",IF(Plano!$K13+Plano!$G13*MAX(0,ROUNDUP((BM$5-Plano!$K13)/Plano!$G13,0))&lt;=IF(DAY(BM$5)&gt;=29,EOMONTH(BM$5,0),BM$5+6),"●",""))</f>
        <v/>
      </c>
    </row>
    <row r="17" spans="1:65" ht="18" customHeight="1">
      <c r="A17" s="40">
        <f>Plano!A14</f>
        <v>10</v>
      </c>
      <c r="B17" s="51" t="str">
        <f>IF(Plano!B14="","",Plano!B14)</f>
        <v/>
      </c>
      <c r="C17" s="20" t="str">
        <f>IF(B17="","",IFERROR(INDEX(tb_pcm_ativos[descricao_ativo],MATCH(B17,tb_pcm_ativos[tag],0)),"fora do cadastro"))</f>
        <v/>
      </c>
      <c r="D17" s="20" t="str">
        <f>IF(Plano!E14="","",Plano!E14)</f>
        <v/>
      </c>
      <c r="E17" s="52" t="str">
        <f>IF(Plano!G14="","",Plano!G14)</f>
        <v/>
      </c>
      <c r="F17" s="53" t="str">
        <f ca="1">IF(OR(NOT(ISNUMBER(F$5)),N(Plano!$G14)=0,N(Plano!$K14)=0),"",IF(Plano!$K14+Plano!$G14*MAX(0,ROUNDUP((F$5-Plano!$K14)/Plano!$G14,0))&lt;=IF(DAY(F$5)&gt;=29,EOMONTH(F$5,0),F$5+6),"●",""))</f>
        <v/>
      </c>
      <c r="G17" s="53" t="str">
        <f ca="1">IF(OR(NOT(ISNUMBER(G$5)),N(Plano!$G14)=0,N(Plano!$K14)=0),"",IF(Plano!$K14+Plano!$G14*MAX(0,ROUNDUP((G$5-Plano!$K14)/Plano!$G14,0))&lt;=IF(DAY(G$5)&gt;=29,EOMONTH(G$5,0),G$5+6),"●",""))</f>
        <v/>
      </c>
      <c r="H17" s="53" t="str">
        <f ca="1">IF(OR(NOT(ISNUMBER(H$5)),N(Plano!$G14)=0,N(Plano!$K14)=0),"",IF(Plano!$K14+Plano!$G14*MAX(0,ROUNDUP((H$5-Plano!$K14)/Plano!$G14,0))&lt;=IF(DAY(H$5)&gt;=29,EOMONTH(H$5,0),H$5+6),"●",""))</f>
        <v/>
      </c>
      <c r="I17" s="53" t="str">
        <f ca="1">IF(OR(NOT(ISNUMBER(I$5)),N(Plano!$G14)=0,N(Plano!$K14)=0),"",IF(Plano!$K14+Plano!$G14*MAX(0,ROUNDUP((I$5-Plano!$K14)/Plano!$G14,0))&lt;=IF(DAY(I$5)&gt;=29,EOMONTH(I$5,0),I$5+6),"●",""))</f>
        <v/>
      </c>
      <c r="J17" s="53" t="str">
        <f ca="1">IF(OR(NOT(ISNUMBER(J$5)),N(Plano!$G14)=0,N(Plano!$K14)=0),"",IF(Plano!$K14+Plano!$G14*MAX(0,ROUNDUP((J$5-Plano!$K14)/Plano!$G14,0))&lt;=IF(DAY(J$5)&gt;=29,EOMONTH(J$5,0),J$5+6),"●",""))</f>
        <v/>
      </c>
      <c r="K17" s="54" t="str">
        <f ca="1">IF(OR(NOT(ISNUMBER(K$5)),N(Plano!$G14)=0,N(Plano!$K14)=0),"",IF(Plano!$K14+Plano!$G14*MAX(0,ROUNDUP((K$5-Plano!$K14)/Plano!$G14,0))&lt;=IF(DAY(K$5)&gt;=29,EOMONTH(K$5,0),K$5+6),"●",""))</f>
        <v/>
      </c>
      <c r="L17" s="53" t="str">
        <f ca="1">IF(OR(NOT(ISNUMBER(L$5)),N(Plano!$G14)=0,N(Plano!$K14)=0),"",IF(Plano!$K14+Plano!$G14*MAX(0,ROUNDUP((L$5-Plano!$K14)/Plano!$G14,0))&lt;=IF(DAY(L$5)&gt;=29,EOMONTH(L$5,0),L$5+6),"●",""))</f>
        <v/>
      </c>
      <c r="M17" s="53" t="str">
        <f ca="1">IF(OR(NOT(ISNUMBER(M$5)),N(Plano!$G14)=0,N(Plano!$K14)=0),"",IF(Plano!$K14+Plano!$G14*MAX(0,ROUNDUP((M$5-Plano!$K14)/Plano!$G14,0))&lt;=IF(DAY(M$5)&gt;=29,EOMONTH(M$5,0),M$5+6),"●",""))</f>
        <v/>
      </c>
      <c r="N17" s="53" t="str">
        <f ca="1">IF(OR(NOT(ISNUMBER(N$5)),N(Plano!$G14)=0,N(Plano!$K14)=0),"",IF(Plano!$K14+Plano!$G14*MAX(0,ROUNDUP((N$5-Plano!$K14)/Plano!$G14,0))&lt;=IF(DAY(N$5)&gt;=29,EOMONTH(N$5,0),N$5+6),"●",""))</f>
        <v/>
      </c>
      <c r="O17" s="53" t="str">
        <f ca="1">IF(OR(NOT(ISNUMBER(O$5)),N(Plano!$G14)=0,N(Plano!$K14)=0),"",IF(Plano!$K14+Plano!$G14*MAX(0,ROUNDUP((O$5-Plano!$K14)/Plano!$G14,0))&lt;=IF(DAY(O$5)&gt;=29,EOMONTH(O$5,0),O$5+6),"●",""))</f>
        <v/>
      </c>
      <c r="P17" s="54" t="str">
        <f ca="1">IF(OR(NOT(ISNUMBER(P$5)),N(Plano!$G14)=0,N(Plano!$K14)=0),"",IF(Plano!$K14+Plano!$G14*MAX(0,ROUNDUP((P$5-Plano!$K14)/Plano!$G14,0))&lt;=IF(DAY(P$5)&gt;=29,EOMONTH(P$5,0),P$5+6),"●",""))</f>
        <v/>
      </c>
      <c r="Q17" s="53" t="str">
        <f ca="1">IF(OR(NOT(ISNUMBER(Q$5)),N(Plano!$G14)=0,N(Plano!$K14)=0),"",IF(Plano!$K14+Plano!$G14*MAX(0,ROUNDUP((Q$5-Plano!$K14)/Plano!$G14,0))&lt;=IF(DAY(Q$5)&gt;=29,EOMONTH(Q$5,0),Q$5+6),"●",""))</f>
        <v/>
      </c>
      <c r="R17" s="53" t="str">
        <f ca="1">IF(OR(NOT(ISNUMBER(R$5)),N(Plano!$G14)=0,N(Plano!$K14)=0),"",IF(Plano!$K14+Plano!$G14*MAX(0,ROUNDUP((R$5-Plano!$K14)/Plano!$G14,0))&lt;=IF(DAY(R$5)&gt;=29,EOMONTH(R$5,0),R$5+6),"●",""))</f>
        <v/>
      </c>
      <c r="S17" s="53" t="str">
        <f ca="1">IF(OR(NOT(ISNUMBER(S$5)),N(Plano!$G14)=0,N(Plano!$K14)=0),"",IF(Plano!$K14+Plano!$G14*MAX(0,ROUNDUP((S$5-Plano!$K14)/Plano!$G14,0))&lt;=IF(DAY(S$5)&gt;=29,EOMONTH(S$5,0),S$5+6),"●",""))</f>
        <v/>
      </c>
      <c r="T17" s="53" t="str">
        <f ca="1">IF(OR(NOT(ISNUMBER(T$5)),N(Plano!$G14)=0,N(Plano!$K14)=0),"",IF(Plano!$K14+Plano!$G14*MAX(0,ROUNDUP((T$5-Plano!$K14)/Plano!$G14,0))&lt;=IF(DAY(T$5)&gt;=29,EOMONTH(T$5,0),T$5+6),"●",""))</f>
        <v/>
      </c>
      <c r="U17" s="54" t="str">
        <f ca="1">IF(OR(NOT(ISNUMBER(U$5)),N(Plano!$G14)=0,N(Plano!$K14)=0),"",IF(Plano!$K14+Plano!$G14*MAX(0,ROUNDUP((U$5-Plano!$K14)/Plano!$G14,0))&lt;=IF(DAY(U$5)&gt;=29,EOMONTH(U$5,0),U$5+6),"●",""))</f>
        <v/>
      </c>
      <c r="V17" s="53" t="str">
        <f ca="1">IF(OR(NOT(ISNUMBER(V$5)),N(Plano!$G14)=0,N(Plano!$K14)=0),"",IF(Plano!$K14+Plano!$G14*MAX(0,ROUNDUP((V$5-Plano!$K14)/Plano!$G14,0))&lt;=IF(DAY(V$5)&gt;=29,EOMONTH(V$5,0),V$5+6),"●",""))</f>
        <v/>
      </c>
      <c r="W17" s="53" t="str">
        <f ca="1">IF(OR(NOT(ISNUMBER(W$5)),N(Plano!$G14)=0,N(Plano!$K14)=0),"",IF(Plano!$K14+Plano!$G14*MAX(0,ROUNDUP((W$5-Plano!$K14)/Plano!$G14,0))&lt;=IF(DAY(W$5)&gt;=29,EOMONTH(W$5,0),W$5+6),"●",""))</f>
        <v/>
      </c>
      <c r="X17" s="53" t="str">
        <f ca="1">IF(OR(NOT(ISNUMBER(X$5)),N(Plano!$G14)=0,N(Plano!$K14)=0),"",IF(Plano!$K14+Plano!$G14*MAX(0,ROUNDUP((X$5-Plano!$K14)/Plano!$G14,0))&lt;=IF(DAY(X$5)&gt;=29,EOMONTH(X$5,0),X$5+6),"●",""))</f>
        <v/>
      </c>
      <c r="Y17" s="53" t="str">
        <f ca="1">IF(OR(NOT(ISNUMBER(Y$5)),N(Plano!$G14)=0,N(Plano!$K14)=0),"",IF(Plano!$K14+Plano!$G14*MAX(0,ROUNDUP((Y$5-Plano!$K14)/Plano!$G14,0))&lt;=IF(DAY(Y$5)&gt;=29,EOMONTH(Y$5,0),Y$5+6),"●",""))</f>
        <v/>
      </c>
      <c r="Z17" s="54" t="str">
        <f ca="1">IF(OR(NOT(ISNUMBER(Z$5)),N(Plano!$G14)=0,N(Plano!$K14)=0),"",IF(Plano!$K14+Plano!$G14*MAX(0,ROUNDUP((Z$5-Plano!$K14)/Plano!$G14,0))&lt;=IF(DAY(Z$5)&gt;=29,EOMONTH(Z$5,0),Z$5+6),"●",""))</f>
        <v/>
      </c>
      <c r="AA17" s="53" t="str">
        <f ca="1">IF(OR(NOT(ISNUMBER(AA$5)),N(Plano!$G14)=0,N(Plano!$K14)=0),"",IF(Plano!$K14+Plano!$G14*MAX(0,ROUNDUP((AA$5-Plano!$K14)/Plano!$G14,0))&lt;=IF(DAY(AA$5)&gt;=29,EOMONTH(AA$5,0),AA$5+6),"●",""))</f>
        <v/>
      </c>
      <c r="AB17" s="53" t="str">
        <f ca="1">IF(OR(NOT(ISNUMBER(AB$5)),N(Plano!$G14)=0,N(Plano!$K14)=0),"",IF(Plano!$K14+Plano!$G14*MAX(0,ROUNDUP((AB$5-Plano!$K14)/Plano!$G14,0))&lt;=IF(DAY(AB$5)&gt;=29,EOMONTH(AB$5,0),AB$5+6),"●",""))</f>
        <v/>
      </c>
      <c r="AC17" s="53" t="str">
        <f ca="1">IF(OR(NOT(ISNUMBER(AC$5)),N(Plano!$G14)=0,N(Plano!$K14)=0),"",IF(Plano!$K14+Plano!$G14*MAX(0,ROUNDUP((AC$5-Plano!$K14)/Plano!$G14,0))&lt;=IF(DAY(AC$5)&gt;=29,EOMONTH(AC$5,0),AC$5+6),"●",""))</f>
        <v/>
      </c>
      <c r="AD17" s="53" t="str">
        <f ca="1">IF(OR(NOT(ISNUMBER(AD$5)),N(Plano!$G14)=0,N(Plano!$K14)=0),"",IF(Plano!$K14+Plano!$G14*MAX(0,ROUNDUP((AD$5-Plano!$K14)/Plano!$G14,0))&lt;=IF(DAY(AD$5)&gt;=29,EOMONTH(AD$5,0),AD$5+6),"●",""))</f>
        <v/>
      </c>
      <c r="AE17" s="54" t="str">
        <f ca="1">IF(OR(NOT(ISNUMBER(AE$5)),N(Plano!$G14)=0,N(Plano!$K14)=0),"",IF(Plano!$K14+Plano!$G14*MAX(0,ROUNDUP((AE$5-Plano!$K14)/Plano!$G14,0))&lt;=IF(DAY(AE$5)&gt;=29,EOMONTH(AE$5,0),AE$5+6),"●",""))</f>
        <v/>
      </c>
      <c r="AF17" s="53" t="str">
        <f ca="1">IF(OR(NOT(ISNUMBER(AF$5)),N(Plano!$G14)=0,N(Plano!$K14)=0),"",IF(Plano!$K14+Plano!$G14*MAX(0,ROUNDUP((AF$5-Plano!$K14)/Plano!$G14,0))&lt;=IF(DAY(AF$5)&gt;=29,EOMONTH(AF$5,0),AF$5+6),"●",""))</f>
        <v/>
      </c>
      <c r="AG17" s="53" t="str">
        <f ca="1">IF(OR(NOT(ISNUMBER(AG$5)),N(Plano!$G14)=0,N(Plano!$K14)=0),"",IF(Plano!$K14+Plano!$G14*MAX(0,ROUNDUP((AG$5-Plano!$K14)/Plano!$G14,0))&lt;=IF(DAY(AG$5)&gt;=29,EOMONTH(AG$5,0),AG$5+6),"●",""))</f>
        <v/>
      </c>
      <c r="AH17" s="53" t="str">
        <f ca="1">IF(OR(NOT(ISNUMBER(AH$5)),N(Plano!$G14)=0,N(Plano!$K14)=0),"",IF(Plano!$K14+Plano!$G14*MAX(0,ROUNDUP((AH$5-Plano!$K14)/Plano!$G14,0))&lt;=IF(DAY(AH$5)&gt;=29,EOMONTH(AH$5,0),AH$5+6),"●",""))</f>
        <v/>
      </c>
      <c r="AI17" s="53" t="str">
        <f ca="1">IF(OR(NOT(ISNUMBER(AI$5)),N(Plano!$G14)=0,N(Plano!$K14)=0),"",IF(Plano!$K14+Plano!$G14*MAX(0,ROUNDUP((AI$5-Plano!$K14)/Plano!$G14,0))&lt;=IF(DAY(AI$5)&gt;=29,EOMONTH(AI$5,0),AI$5+6),"●",""))</f>
        <v/>
      </c>
      <c r="AJ17" s="54" t="str">
        <f ca="1">IF(OR(NOT(ISNUMBER(AJ$5)),N(Plano!$G14)=0,N(Plano!$K14)=0),"",IF(Plano!$K14+Plano!$G14*MAX(0,ROUNDUP((AJ$5-Plano!$K14)/Plano!$G14,0))&lt;=IF(DAY(AJ$5)&gt;=29,EOMONTH(AJ$5,0),AJ$5+6),"●",""))</f>
        <v/>
      </c>
      <c r="AK17" s="53" t="str">
        <f ca="1">IF(OR(NOT(ISNUMBER(AK$5)),N(Plano!$G14)=0,N(Plano!$K14)=0),"",IF(Plano!$K14+Plano!$G14*MAX(0,ROUNDUP((AK$5-Plano!$K14)/Plano!$G14,0))&lt;=IF(DAY(AK$5)&gt;=29,EOMONTH(AK$5,0),AK$5+6),"●",""))</f>
        <v/>
      </c>
      <c r="AL17" s="53" t="str">
        <f ca="1">IF(OR(NOT(ISNUMBER(AL$5)),N(Plano!$G14)=0,N(Plano!$K14)=0),"",IF(Plano!$K14+Plano!$G14*MAX(0,ROUNDUP((AL$5-Plano!$K14)/Plano!$G14,0))&lt;=IF(DAY(AL$5)&gt;=29,EOMONTH(AL$5,0),AL$5+6),"●",""))</f>
        <v/>
      </c>
      <c r="AM17" s="53" t="str">
        <f ca="1">IF(OR(NOT(ISNUMBER(AM$5)),N(Plano!$G14)=0,N(Plano!$K14)=0),"",IF(Plano!$K14+Plano!$G14*MAX(0,ROUNDUP((AM$5-Plano!$K14)/Plano!$G14,0))&lt;=IF(DAY(AM$5)&gt;=29,EOMONTH(AM$5,0),AM$5+6),"●",""))</f>
        <v/>
      </c>
      <c r="AN17" s="53" t="str">
        <f ca="1">IF(OR(NOT(ISNUMBER(AN$5)),N(Plano!$G14)=0,N(Plano!$K14)=0),"",IF(Plano!$K14+Plano!$G14*MAX(0,ROUNDUP((AN$5-Plano!$K14)/Plano!$G14,0))&lt;=IF(DAY(AN$5)&gt;=29,EOMONTH(AN$5,0),AN$5+6),"●",""))</f>
        <v/>
      </c>
      <c r="AO17" s="54" t="str">
        <f ca="1">IF(OR(NOT(ISNUMBER(AO$5)),N(Plano!$G14)=0,N(Plano!$K14)=0),"",IF(Plano!$K14+Plano!$G14*MAX(0,ROUNDUP((AO$5-Plano!$K14)/Plano!$G14,0))&lt;=IF(DAY(AO$5)&gt;=29,EOMONTH(AO$5,0),AO$5+6),"●",""))</f>
        <v/>
      </c>
      <c r="AP17" s="53" t="str">
        <f ca="1">IF(OR(NOT(ISNUMBER(AP$5)),N(Plano!$G14)=0,N(Plano!$K14)=0),"",IF(Plano!$K14+Plano!$G14*MAX(0,ROUNDUP((AP$5-Plano!$K14)/Plano!$G14,0))&lt;=IF(DAY(AP$5)&gt;=29,EOMONTH(AP$5,0),AP$5+6),"●",""))</f>
        <v/>
      </c>
      <c r="AQ17" s="53" t="str">
        <f ca="1">IF(OR(NOT(ISNUMBER(AQ$5)),N(Plano!$G14)=0,N(Plano!$K14)=0),"",IF(Plano!$K14+Plano!$G14*MAX(0,ROUNDUP((AQ$5-Plano!$K14)/Plano!$G14,0))&lt;=IF(DAY(AQ$5)&gt;=29,EOMONTH(AQ$5,0),AQ$5+6),"●",""))</f>
        <v/>
      </c>
      <c r="AR17" s="53" t="str">
        <f ca="1">IF(OR(NOT(ISNUMBER(AR$5)),N(Plano!$G14)=0,N(Plano!$K14)=0),"",IF(Plano!$K14+Plano!$G14*MAX(0,ROUNDUP((AR$5-Plano!$K14)/Plano!$G14,0))&lt;=IF(DAY(AR$5)&gt;=29,EOMONTH(AR$5,0),AR$5+6),"●",""))</f>
        <v/>
      </c>
      <c r="AS17" s="53" t="str">
        <f ca="1">IF(OR(NOT(ISNUMBER(AS$5)),N(Plano!$G14)=0,N(Plano!$K14)=0),"",IF(Plano!$K14+Plano!$G14*MAX(0,ROUNDUP((AS$5-Plano!$K14)/Plano!$G14,0))&lt;=IF(DAY(AS$5)&gt;=29,EOMONTH(AS$5,0),AS$5+6),"●",""))</f>
        <v/>
      </c>
      <c r="AT17" s="54" t="str">
        <f ca="1">IF(OR(NOT(ISNUMBER(AT$5)),N(Plano!$G14)=0,N(Plano!$K14)=0),"",IF(Plano!$K14+Plano!$G14*MAX(0,ROUNDUP((AT$5-Plano!$K14)/Plano!$G14,0))&lt;=IF(DAY(AT$5)&gt;=29,EOMONTH(AT$5,0),AT$5+6),"●",""))</f>
        <v/>
      </c>
      <c r="AU17" s="53" t="str">
        <f ca="1">IF(OR(NOT(ISNUMBER(AU$5)),N(Plano!$G14)=0,N(Plano!$K14)=0),"",IF(Plano!$K14+Plano!$G14*MAX(0,ROUNDUP((AU$5-Plano!$K14)/Plano!$G14,0))&lt;=IF(DAY(AU$5)&gt;=29,EOMONTH(AU$5,0),AU$5+6),"●",""))</f>
        <v/>
      </c>
      <c r="AV17" s="53" t="str">
        <f ca="1">IF(OR(NOT(ISNUMBER(AV$5)),N(Plano!$G14)=0,N(Plano!$K14)=0),"",IF(Plano!$K14+Plano!$G14*MAX(0,ROUNDUP((AV$5-Plano!$K14)/Plano!$G14,0))&lt;=IF(DAY(AV$5)&gt;=29,EOMONTH(AV$5,0),AV$5+6),"●",""))</f>
        <v/>
      </c>
      <c r="AW17" s="53" t="str">
        <f ca="1">IF(OR(NOT(ISNUMBER(AW$5)),N(Plano!$G14)=0,N(Plano!$K14)=0),"",IF(Plano!$K14+Plano!$G14*MAX(0,ROUNDUP((AW$5-Plano!$K14)/Plano!$G14,0))&lt;=IF(DAY(AW$5)&gt;=29,EOMONTH(AW$5,0),AW$5+6),"●",""))</f>
        <v/>
      </c>
      <c r="AX17" s="53" t="str">
        <f ca="1">IF(OR(NOT(ISNUMBER(AX$5)),N(Plano!$G14)=0,N(Plano!$K14)=0),"",IF(Plano!$K14+Plano!$G14*MAX(0,ROUNDUP((AX$5-Plano!$K14)/Plano!$G14,0))&lt;=IF(DAY(AX$5)&gt;=29,EOMONTH(AX$5,0),AX$5+6),"●",""))</f>
        <v/>
      </c>
      <c r="AY17" s="54" t="str">
        <f ca="1">IF(OR(NOT(ISNUMBER(AY$5)),N(Plano!$G14)=0,N(Plano!$K14)=0),"",IF(Plano!$K14+Plano!$G14*MAX(0,ROUNDUP((AY$5-Plano!$K14)/Plano!$G14,0))&lt;=IF(DAY(AY$5)&gt;=29,EOMONTH(AY$5,0),AY$5+6),"●",""))</f>
        <v/>
      </c>
      <c r="AZ17" s="53" t="str">
        <f ca="1">IF(OR(NOT(ISNUMBER(AZ$5)),N(Plano!$G14)=0,N(Plano!$K14)=0),"",IF(Plano!$K14+Plano!$G14*MAX(0,ROUNDUP((AZ$5-Plano!$K14)/Plano!$G14,0))&lt;=IF(DAY(AZ$5)&gt;=29,EOMONTH(AZ$5,0),AZ$5+6),"●",""))</f>
        <v/>
      </c>
      <c r="BA17" s="53" t="str">
        <f ca="1">IF(OR(NOT(ISNUMBER(BA$5)),N(Plano!$G14)=0,N(Plano!$K14)=0),"",IF(Plano!$K14+Plano!$G14*MAX(0,ROUNDUP((BA$5-Plano!$K14)/Plano!$G14,0))&lt;=IF(DAY(BA$5)&gt;=29,EOMONTH(BA$5,0),BA$5+6),"●",""))</f>
        <v/>
      </c>
      <c r="BB17" s="53" t="str">
        <f ca="1">IF(OR(NOT(ISNUMBER(BB$5)),N(Plano!$G14)=0,N(Plano!$K14)=0),"",IF(Plano!$K14+Plano!$G14*MAX(0,ROUNDUP((BB$5-Plano!$K14)/Plano!$G14,0))&lt;=IF(DAY(BB$5)&gt;=29,EOMONTH(BB$5,0),BB$5+6),"●",""))</f>
        <v/>
      </c>
      <c r="BC17" s="53" t="str">
        <f ca="1">IF(OR(NOT(ISNUMBER(BC$5)),N(Plano!$G14)=0,N(Plano!$K14)=0),"",IF(Plano!$K14+Plano!$G14*MAX(0,ROUNDUP((BC$5-Plano!$K14)/Plano!$G14,0))&lt;=IF(DAY(BC$5)&gt;=29,EOMONTH(BC$5,0),BC$5+6),"●",""))</f>
        <v/>
      </c>
      <c r="BD17" s="54" t="str">
        <f ca="1">IF(OR(NOT(ISNUMBER(BD$5)),N(Plano!$G14)=0,N(Plano!$K14)=0),"",IF(Plano!$K14+Plano!$G14*MAX(0,ROUNDUP((BD$5-Plano!$K14)/Plano!$G14,0))&lt;=IF(DAY(BD$5)&gt;=29,EOMONTH(BD$5,0),BD$5+6),"●",""))</f>
        <v/>
      </c>
      <c r="BE17" s="53" t="str">
        <f ca="1">IF(OR(NOT(ISNUMBER(BE$5)),N(Plano!$G14)=0,N(Plano!$K14)=0),"",IF(Plano!$K14+Plano!$G14*MAX(0,ROUNDUP((BE$5-Plano!$K14)/Plano!$G14,0))&lt;=IF(DAY(BE$5)&gt;=29,EOMONTH(BE$5,0),BE$5+6),"●",""))</f>
        <v/>
      </c>
      <c r="BF17" s="53" t="str">
        <f ca="1">IF(OR(NOT(ISNUMBER(BF$5)),N(Plano!$G14)=0,N(Plano!$K14)=0),"",IF(Plano!$K14+Plano!$G14*MAX(0,ROUNDUP((BF$5-Plano!$K14)/Plano!$G14,0))&lt;=IF(DAY(BF$5)&gt;=29,EOMONTH(BF$5,0),BF$5+6),"●",""))</f>
        <v/>
      </c>
      <c r="BG17" s="53" t="str">
        <f ca="1">IF(OR(NOT(ISNUMBER(BG$5)),N(Plano!$G14)=0,N(Plano!$K14)=0),"",IF(Plano!$K14+Plano!$G14*MAX(0,ROUNDUP((BG$5-Plano!$K14)/Plano!$G14,0))&lt;=IF(DAY(BG$5)&gt;=29,EOMONTH(BG$5,0),BG$5+6),"●",""))</f>
        <v/>
      </c>
      <c r="BH17" s="53" t="str">
        <f ca="1">IF(OR(NOT(ISNUMBER(BH$5)),N(Plano!$G14)=0,N(Plano!$K14)=0),"",IF(Plano!$K14+Plano!$G14*MAX(0,ROUNDUP((BH$5-Plano!$K14)/Plano!$G14,0))&lt;=IF(DAY(BH$5)&gt;=29,EOMONTH(BH$5,0),BH$5+6),"●",""))</f>
        <v/>
      </c>
      <c r="BI17" s="54" t="str">
        <f ca="1">IF(OR(NOT(ISNUMBER(BI$5)),N(Plano!$G14)=0,N(Plano!$K14)=0),"",IF(Plano!$K14+Plano!$G14*MAX(0,ROUNDUP((BI$5-Plano!$K14)/Plano!$G14,0))&lt;=IF(DAY(BI$5)&gt;=29,EOMONTH(BI$5,0),BI$5+6),"●",""))</f>
        <v/>
      </c>
      <c r="BJ17" s="53" t="str">
        <f ca="1">IF(OR(NOT(ISNUMBER(BJ$5)),N(Plano!$G14)=0,N(Plano!$K14)=0),"",IF(Plano!$K14+Plano!$G14*MAX(0,ROUNDUP((BJ$5-Plano!$K14)/Plano!$G14,0))&lt;=IF(DAY(BJ$5)&gt;=29,EOMONTH(BJ$5,0),BJ$5+6),"●",""))</f>
        <v/>
      </c>
      <c r="BK17" s="53" t="str">
        <f ca="1">IF(OR(NOT(ISNUMBER(BK$5)),N(Plano!$G14)=0,N(Plano!$K14)=0),"",IF(Plano!$K14+Plano!$G14*MAX(0,ROUNDUP((BK$5-Plano!$K14)/Plano!$G14,0))&lt;=IF(DAY(BK$5)&gt;=29,EOMONTH(BK$5,0),BK$5+6),"●",""))</f>
        <v/>
      </c>
      <c r="BL17" s="53" t="str">
        <f ca="1">IF(OR(NOT(ISNUMBER(BL$5)),N(Plano!$G14)=0,N(Plano!$K14)=0),"",IF(Plano!$K14+Plano!$G14*MAX(0,ROUNDUP((BL$5-Plano!$K14)/Plano!$G14,0))&lt;=IF(DAY(BL$5)&gt;=29,EOMONTH(BL$5,0),BL$5+6),"●",""))</f>
        <v/>
      </c>
      <c r="BM17" s="55" t="str">
        <f ca="1">IF(OR(NOT(ISNUMBER(BM$5)),N(Plano!$G14)=0,N(Plano!$K14)=0),"",IF(Plano!$K14+Plano!$G14*MAX(0,ROUNDUP((BM$5-Plano!$K14)/Plano!$G14,0))&lt;=IF(DAY(BM$5)&gt;=29,EOMONTH(BM$5,0),BM$5+6),"●",""))</f>
        <v/>
      </c>
    </row>
    <row r="18" spans="1:65" ht="18" customHeight="1">
      <c r="A18" s="40">
        <f>Plano!A15</f>
        <v>11</v>
      </c>
      <c r="B18" s="51" t="str">
        <f>IF(Plano!B15="","",Plano!B15)</f>
        <v/>
      </c>
      <c r="C18" s="20" t="str">
        <f>IF(B18="","",IFERROR(INDEX(tb_pcm_ativos[descricao_ativo],MATCH(B18,tb_pcm_ativos[tag],0)),"fora do cadastro"))</f>
        <v/>
      </c>
      <c r="D18" s="20" t="str">
        <f>IF(Plano!E15="","",Plano!E15)</f>
        <v/>
      </c>
      <c r="E18" s="52" t="str">
        <f>IF(Plano!G15="","",Plano!G15)</f>
        <v/>
      </c>
      <c r="F18" s="53" t="str">
        <f ca="1">IF(OR(NOT(ISNUMBER(F$5)),N(Plano!$G15)=0,N(Plano!$K15)=0),"",IF(Plano!$K15+Plano!$G15*MAX(0,ROUNDUP((F$5-Plano!$K15)/Plano!$G15,0))&lt;=IF(DAY(F$5)&gt;=29,EOMONTH(F$5,0),F$5+6),"●",""))</f>
        <v/>
      </c>
      <c r="G18" s="53" t="str">
        <f ca="1">IF(OR(NOT(ISNUMBER(G$5)),N(Plano!$G15)=0,N(Plano!$K15)=0),"",IF(Plano!$K15+Plano!$G15*MAX(0,ROUNDUP((G$5-Plano!$K15)/Plano!$G15,0))&lt;=IF(DAY(G$5)&gt;=29,EOMONTH(G$5,0),G$5+6),"●",""))</f>
        <v/>
      </c>
      <c r="H18" s="53" t="str">
        <f ca="1">IF(OR(NOT(ISNUMBER(H$5)),N(Plano!$G15)=0,N(Plano!$K15)=0),"",IF(Plano!$K15+Plano!$G15*MAX(0,ROUNDUP((H$5-Plano!$K15)/Plano!$G15,0))&lt;=IF(DAY(H$5)&gt;=29,EOMONTH(H$5,0),H$5+6),"●",""))</f>
        <v/>
      </c>
      <c r="I18" s="53" t="str">
        <f ca="1">IF(OR(NOT(ISNUMBER(I$5)),N(Plano!$G15)=0,N(Plano!$K15)=0),"",IF(Plano!$K15+Plano!$G15*MAX(0,ROUNDUP((I$5-Plano!$K15)/Plano!$G15,0))&lt;=IF(DAY(I$5)&gt;=29,EOMONTH(I$5,0),I$5+6),"●",""))</f>
        <v/>
      </c>
      <c r="J18" s="53" t="str">
        <f ca="1">IF(OR(NOT(ISNUMBER(J$5)),N(Plano!$G15)=0,N(Plano!$K15)=0),"",IF(Plano!$K15+Plano!$G15*MAX(0,ROUNDUP((J$5-Plano!$K15)/Plano!$G15,0))&lt;=IF(DAY(J$5)&gt;=29,EOMONTH(J$5,0),J$5+6),"●",""))</f>
        <v/>
      </c>
      <c r="K18" s="54" t="str">
        <f ca="1">IF(OR(NOT(ISNUMBER(K$5)),N(Plano!$G15)=0,N(Plano!$K15)=0),"",IF(Plano!$K15+Plano!$G15*MAX(0,ROUNDUP((K$5-Plano!$K15)/Plano!$G15,0))&lt;=IF(DAY(K$5)&gt;=29,EOMONTH(K$5,0),K$5+6),"●",""))</f>
        <v/>
      </c>
      <c r="L18" s="53" t="str">
        <f ca="1">IF(OR(NOT(ISNUMBER(L$5)),N(Plano!$G15)=0,N(Plano!$K15)=0),"",IF(Plano!$K15+Plano!$G15*MAX(0,ROUNDUP((L$5-Plano!$K15)/Plano!$G15,0))&lt;=IF(DAY(L$5)&gt;=29,EOMONTH(L$5,0),L$5+6),"●",""))</f>
        <v/>
      </c>
      <c r="M18" s="53" t="str">
        <f ca="1">IF(OR(NOT(ISNUMBER(M$5)),N(Plano!$G15)=0,N(Plano!$K15)=0),"",IF(Plano!$K15+Plano!$G15*MAX(0,ROUNDUP((M$5-Plano!$K15)/Plano!$G15,0))&lt;=IF(DAY(M$5)&gt;=29,EOMONTH(M$5,0),M$5+6),"●",""))</f>
        <v/>
      </c>
      <c r="N18" s="53" t="str">
        <f ca="1">IF(OR(NOT(ISNUMBER(N$5)),N(Plano!$G15)=0,N(Plano!$K15)=0),"",IF(Plano!$K15+Plano!$G15*MAX(0,ROUNDUP((N$5-Plano!$K15)/Plano!$G15,0))&lt;=IF(DAY(N$5)&gt;=29,EOMONTH(N$5,0),N$5+6),"●",""))</f>
        <v/>
      </c>
      <c r="O18" s="53" t="str">
        <f ca="1">IF(OR(NOT(ISNUMBER(O$5)),N(Plano!$G15)=0,N(Plano!$K15)=0),"",IF(Plano!$K15+Plano!$G15*MAX(0,ROUNDUP((O$5-Plano!$K15)/Plano!$G15,0))&lt;=IF(DAY(O$5)&gt;=29,EOMONTH(O$5,0),O$5+6),"●",""))</f>
        <v/>
      </c>
      <c r="P18" s="54" t="str">
        <f ca="1">IF(OR(NOT(ISNUMBER(P$5)),N(Plano!$G15)=0,N(Plano!$K15)=0),"",IF(Plano!$K15+Plano!$G15*MAX(0,ROUNDUP((P$5-Plano!$K15)/Plano!$G15,0))&lt;=IF(DAY(P$5)&gt;=29,EOMONTH(P$5,0),P$5+6),"●",""))</f>
        <v/>
      </c>
      <c r="Q18" s="53" t="str">
        <f ca="1">IF(OR(NOT(ISNUMBER(Q$5)),N(Plano!$G15)=0,N(Plano!$K15)=0),"",IF(Plano!$K15+Plano!$G15*MAX(0,ROUNDUP((Q$5-Plano!$K15)/Plano!$G15,0))&lt;=IF(DAY(Q$5)&gt;=29,EOMONTH(Q$5,0),Q$5+6),"●",""))</f>
        <v/>
      </c>
      <c r="R18" s="53" t="str">
        <f ca="1">IF(OR(NOT(ISNUMBER(R$5)),N(Plano!$G15)=0,N(Plano!$K15)=0),"",IF(Plano!$K15+Plano!$G15*MAX(0,ROUNDUP((R$5-Plano!$K15)/Plano!$G15,0))&lt;=IF(DAY(R$5)&gt;=29,EOMONTH(R$5,0),R$5+6),"●",""))</f>
        <v/>
      </c>
      <c r="S18" s="53" t="str">
        <f ca="1">IF(OR(NOT(ISNUMBER(S$5)),N(Plano!$G15)=0,N(Plano!$K15)=0),"",IF(Plano!$K15+Plano!$G15*MAX(0,ROUNDUP((S$5-Plano!$K15)/Plano!$G15,0))&lt;=IF(DAY(S$5)&gt;=29,EOMONTH(S$5,0),S$5+6),"●",""))</f>
        <v/>
      </c>
      <c r="T18" s="53" t="str">
        <f ca="1">IF(OR(NOT(ISNUMBER(T$5)),N(Plano!$G15)=0,N(Plano!$K15)=0),"",IF(Plano!$K15+Plano!$G15*MAX(0,ROUNDUP((T$5-Plano!$K15)/Plano!$G15,0))&lt;=IF(DAY(T$5)&gt;=29,EOMONTH(T$5,0),T$5+6),"●",""))</f>
        <v/>
      </c>
      <c r="U18" s="54" t="str">
        <f ca="1">IF(OR(NOT(ISNUMBER(U$5)),N(Plano!$G15)=0,N(Plano!$K15)=0),"",IF(Plano!$K15+Plano!$G15*MAX(0,ROUNDUP((U$5-Plano!$K15)/Plano!$G15,0))&lt;=IF(DAY(U$5)&gt;=29,EOMONTH(U$5,0),U$5+6),"●",""))</f>
        <v/>
      </c>
      <c r="V18" s="53" t="str">
        <f ca="1">IF(OR(NOT(ISNUMBER(V$5)),N(Plano!$G15)=0,N(Plano!$K15)=0),"",IF(Plano!$K15+Plano!$G15*MAX(0,ROUNDUP((V$5-Plano!$K15)/Plano!$G15,0))&lt;=IF(DAY(V$5)&gt;=29,EOMONTH(V$5,0),V$5+6),"●",""))</f>
        <v/>
      </c>
      <c r="W18" s="53" t="str">
        <f ca="1">IF(OR(NOT(ISNUMBER(W$5)),N(Plano!$G15)=0,N(Plano!$K15)=0),"",IF(Plano!$K15+Plano!$G15*MAX(0,ROUNDUP((W$5-Plano!$K15)/Plano!$G15,0))&lt;=IF(DAY(W$5)&gt;=29,EOMONTH(W$5,0),W$5+6),"●",""))</f>
        <v/>
      </c>
      <c r="X18" s="53" t="str">
        <f ca="1">IF(OR(NOT(ISNUMBER(X$5)),N(Plano!$G15)=0,N(Plano!$K15)=0),"",IF(Plano!$K15+Plano!$G15*MAX(0,ROUNDUP((X$5-Plano!$K15)/Plano!$G15,0))&lt;=IF(DAY(X$5)&gt;=29,EOMONTH(X$5,0),X$5+6),"●",""))</f>
        <v/>
      </c>
      <c r="Y18" s="53" t="str">
        <f ca="1">IF(OR(NOT(ISNUMBER(Y$5)),N(Plano!$G15)=0,N(Plano!$K15)=0),"",IF(Plano!$K15+Plano!$G15*MAX(0,ROUNDUP((Y$5-Plano!$K15)/Plano!$G15,0))&lt;=IF(DAY(Y$5)&gt;=29,EOMONTH(Y$5,0),Y$5+6),"●",""))</f>
        <v/>
      </c>
      <c r="Z18" s="54" t="str">
        <f ca="1">IF(OR(NOT(ISNUMBER(Z$5)),N(Plano!$G15)=0,N(Plano!$K15)=0),"",IF(Plano!$K15+Plano!$G15*MAX(0,ROUNDUP((Z$5-Plano!$K15)/Plano!$G15,0))&lt;=IF(DAY(Z$5)&gt;=29,EOMONTH(Z$5,0),Z$5+6),"●",""))</f>
        <v/>
      </c>
      <c r="AA18" s="53" t="str">
        <f ca="1">IF(OR(NOT(ISNUMBER(AA$5)),N(Plano!$G15)=0,N(Plano!$K15)=0),"",IF(Plano!$K15+Plano!$G15*MAX(0,ROUNDUP((AA$5-Plano!$K15)/Plano!$G15,0))&lt;=IF(DAY(AA$5)&gt;=29,EOMONTH(AA$5,0),AA$5+6),"●",""))</f>
        <v/>
      </c>
      <c r="AB18" s="53" t="str">
        <f ca="1">IF(OR(NOT(ISNUMBER(AB$5)),N(Plano!$G15)=0,N(Plano!$K15)=0),"",IF(Plano!$K15+Plano!$G15*MAX(0,ROUNDUP((AB$5-Plano!$K15)/Plano!$G15,0))&lt;=IF(DAY(AB$5)&gt;=29,EOMONTH(AB$5,0),AB$5+6),"●",""))</f>
        <v/>
      </c>
      <c r="AC18" s="53" t="str">
        <f ca="1">IF(OR(NOT(ISNUMBER(AC$5)),N(Plano!$G15)=0,N(Plano!$K15)=0),"",IF(Plano!$K15+Plano!$G15*MAX(0,ROUNDUP((AC$5-Plano!$K15)/Plano!$G15,0))&lt;=IF(DAY(AC$5)&gt;=29,EOMONTH(AC$5,0),AC$5+6),"●",""))</f>
        <v/>
      </c>
      <c r="AD18" s="53" t="str">
        <f ca="1">IF(OR(NOT(ISNUMBER(AD$5)),N(Plano!$G15)=0,N(Plano!$K15)=0),"",IF(Plano!$K15+Plano!$G15*MAX(0,ROUNDUP((AD$5-Plano!$K15)/Plano!$G15,0))&lt;=IF(DAY(AD$5)&gt;=29,EOMONTH(AD$5,0),AD$5+6),"●",""))</f>
        <v/>
      </c>
      <c r="AE18" s="54" t="str">
        <f ca="1">IF(OR(NOT(ISNUMBER(AE$5)),N(Plano!$G15)=0,N(Plano!$K15)=0),"",IF(Plano!$K15+Plano!$G15*MAX(0,ROUNDUP((AE$5-Plano!$K15)/Plano!$G15,0))&lt;=IF(DAY(AE$5)&gt;=29,EOMONTH(AE$5,0),AE$5+6),"●",""))</f>
        <v/>
      </c>
      <c r="AF18" s="53" t="str">
        <f ca="1">IF(OR(NOT(ISNUMBER(AF$5)),N(Plano!$G15)=0,N(Plano!$K15)=0),"",IF(Plano!$K15+Plano!$G15*MAX(0,ROUNDUP((AF$5-Plano!$K15)/Plano!$G15,0))&lt;=IF(DAY(AF$5)&gt;=29,EOMONTH(AF$5,0),AF$5+6),"●",""))</f>
        <v/>
      </c>
      <c r="AG18" s="53" t="str">
        <f ca="1">IF(OR(NOT(ISNUMBER(AG$5)),N(Plano!$G15)=0,N(Plano!$K15)=0),"",IF(Plano!$K15+Plano!$G15*MAX(0,ROUNDUP((AG$5-Plano!$K15)/Plano!$G15,0))&lt;=IF(DAY(AG$5)&gt;=29,EOMONTH(AG$5,0),AG$5+6),"●",""))</f>
        <v/>
      </c>
      <c r="AH18" s="53" t="str">
        <f ca="1">IF(OR(NOT(ISNUMBER(AH$5)),N(Plano!$G15)=0,N(Plano!$K15)=0),"",IF(Plano!$K15+Plano!$G15*MAX(0,ROUNDUP((AH$5-Plano!$K15)/Plano!$G15,0))&lt;=IF(DAY(AH$5)&gt;=29,EOMONTH(AH$5,0),AH$5+6),"●",""))</f>
        <v/>
      </c>
      <c r="AI18" s="53" t="str">
        <f ca="1">IF(OR(NOT(ISNUMBER(AI$5)),N(Plano!$G15)=0,N(Plano!$K15)=0),"",IF(Plano!$K15+Plano!$G15*MAX(0,ROUNDUP((AI$5-Plano!$K15)/Plano!$G15,0))&lt;=IF(DAY(AI$5)&gt;=29,EOMONTH(AI$5,0),AI$5+6),"●",""))</f>
        <v/>
      </c>
      <c r="AJ18" s="54" t="str">
        <f ca="1">IF(OR(NOT(ISNUMBER(AJ$5)),N(Plano!$G15)=0,N(Plano!$K15)=0),"",IF(Plano!$K15+Plano!$G15*MAX(0,ROUNDUP((AJ$5-Plano!$K15)/Plano!$G15,0))&lt;=IF(DAY(AJ$5)&gt;=29,EOMONTH(AJ$5,0),AJ$5+6),"●",""))</f>
        <v/>
      </c>
      <c r="AK18" s="53" t="str">
        <f ca="1">IF(OR(NOT(ISNUMBER(AK$5)),N(Plano!$G15)=0,N(Plano!$K15)=0),"",IF(Plano!$K15+Plano!$G15*MAX(0,ROUNDUP((AK$5-Plano!$K15)/Plano!$G15,0))&lt;=IF(DAY(AK$5)&gt;=29,EOMONTH(AK$5,0),AK$5+6),"●",""))</f>
        <v/>
      </c>
      <c r="AL18" s="53" t="str">
        <f ca="1">IF(OR(NOT(ISNUMBER(AL$5)),N(Plano!$G15)=0,N(Plano!$K15)=0),"",IF(Plano!$K15+Plano!$G15*MAX(0,ROUNDUP((AL$5-Plano!$K15)/Plano!$G15,0))&lt;=IF(DAY(AL$5)&gt;=29,EOMONTH(AL$5,0),AL$5+6),"●",""))</f>
        <v/>
      </c>
      <c r="AM18" s="53" t="str">
        <f ca="1">IF(OR(NOT(ISNUMBER(AM$5)),N(Plano!$G15)=0,N(Plano!$K15)=0),"",IF(Plano!$K15+Plano!$G15*MAX(0,ROUNDUP((AM$5-Plano!$K15)/Plano!$G15,0))&lt;=IF(DAY(AM$5)&gt;=29,EOMONTH(AM$5,0),AM$5+6),"●",""))</f>
        <v/>
      </c>
      <c r="AN18" s="53" t="str">
        <f ca="1">IF(OR(NOT(ISNUMBER(AN$5)),N(Plano!$G15)=0,N(Plano!$K15)=0),"",IF(Plano!$K15+Plano!$G15*MAX(0,ROUNDUP((AN$5-Plano!$K15)/Plano!$G15,0))&lt;=IF(DAY(AN$5)&gt;=29,EOMONTH(AN$5,0),AN$5+6),"●",""))</f>
        <v/>
      </c>
      <c r="AO18" s="54" t="str">
        <f ca="1">IF(OR(NOT(ISNUMBER(AO$5)),N(Plano!$G15)=0,N(Plano!$K15)=0),"",IF(Plano!$K15+Plano!$G15*MAX(0,ROUNDUP((AO$5-Plano!$K15)/Plano!$G15,0))&lt;=IF(DAY(AO$5)&gt;=29,EOMONTH(AO$5,0),AO$5+6),"●",""))</f>
        <v/>
      </c>
      <c r="AP18" s="53" t="str">
        <f ca="1">IF(OR(NOT(ISNUMBER(AP$5)),N(Plano!$G15)=0,N(Plano!$K15)=0),"",IF(Plano!$K15+Plano!$G15*MAX(0,ROUNDUP((AP$5-Plano!$K15)/Plano!$G15,0))&lt;=IF(DAY(AP$5)&gt;=29,EOMONTH(AP$5,0),AP$5+6),"●",""))</f>
        <v/>
      </c>
      <c r="AQ18" s="53" t="str">
        <f ca="1">IF(OR(NOT(ISNUMBER(AQ$5)),N(Plano!$G15)=0,N(Plano!$K15)=0),"",IF(Plano!$K15+Plano!$G15*MAX(0,ROUNDUP((AQ$5-Plano!$K15)/Plano!$G15,0))&lt;=IF(DAY(AQ$5)&gt;=29,EOMONTH(AQ$5,0),AQ$5+6),"●",""))</f>
        <v/>
      </c>
      <c r="AR18" s="53" t="str">
        <f ca="1">IF(OR(NOT(ISNUMBER(AR$5)),N(Plano!$G15)=0,N(Plano!$K15)=0),"",IF(Plano!$K15+Plano!$G15*MAX(0,ROUNDUP((AR$5-Plano!$K15)/Plano!$G15,0))&lt;=IF(DAY(AR$5)&gt;=29,EOMONTH(AR$5,0),AR$5+6),"●",""))</f>
        <v/>
      </c>
      <c r="AS18" s="53" t="str">
        <f ca="1">IF(OR(NOT(ISNUMBER(AS$5)),N(Plano!$G15)=0,N(Plano!$K15)=0),"",IF(Plano!$K15+Plano!$G15*MAX(0,ROUNDUP((AS$5-Plano!$K15)/Plano!$G15,0))&lt;=IF(DAY(AS$5)&gt;=29,EOMONTH(AS$5,0),AS$5+6),"●",""))</f>
        <v/>
      </c>
      <c r="AT18" s="54" t="str">
        <f ca="1">IF(OR(NOT(ISNUMBER(AT$5)),N(Plano!$G15)=0,N(Plano!$K15)=0),"",IF(Plano!$K15+Plano!$G15*MAX(0,ROUNDUP((AT$5-Plano!$K15)/Plano!$G15,0))&lt;=IF(DAY(AT$5)&gt;=29,EOMONTH(AT$5,0),AT$5+6),"●",""))</f>
        <v/>
      </c>
      <c r="AU18" s="53" t="str">
        <f ca="1">IF(OR(NOT(ISNUMBER(AU$5)),N(Plano!$G15)=0,N(Plano!$K15)=0),"",IF(Plano!$K15+Plano!$G15*MAX(0,ROUNDUP((AU$5-Plano!$K15)/Plano!$G15,0))&lt;=IF(DAY(AU$5)&gt;=29,EOMONTH(AU$5,0),AU$5+6),"●",""))</f>
        <v/>
      </c>
      <c r="AV18" s="53" t="str">
        <f ca="1">IF(OR(NOT(ISNUMBER(AV$5)),N(Plano!$G15)=0,N(Plano!$K15)=0),"",IF(Plano!$K15+Plano!$G15*MAX(0,ROUNDUP((AV$5-Plano!$K15)/Plano!$G15,0))&lt;=IF(DAY(AV$5)&gt;=29,EOMONTH(AV$5,0),AV$5+6),"●",""))</f>
        <v/>
      </c>
      <c r="AW18" s="53" t="str">
        <f ca="1">IF(OR(NOT(ISNUMBER(AW$5)),N(Plano!$G15)=0,N(Plano!$K15)=0),"",IF(Plano!$K15+Plano!$G15*MAX(0,ROUNDUP((AW$5-Plano!$K15)/Plano!$G15,0))&lt;=IF(DAY(AW$5)&gt;=29,EOMONTH(AW$5,0),AW$5+6),"●",""))</f>
        <v/>
      </c>
      <c r="AX18" s="53" t="str">
        <f ca="1">IF(OR(NOT(ISNUMBER(AX$5)),N(Plano!$G15)=0,N(Plano!$K15)=0),"",IF(Plano!$K15+Plano!$G15*MAX(0,ROUNDUP((AX$5-Plano!$K15)/Plano!$G15,0))&lt;=IF(DAY(AX$5)&gt;=29,EOMONTH(AX$5,0),AX$5+6),"●",""))</f>
        <v/>
      </c>
      <c r="AY18" s="54" t="str">
        <f ca="1">IF(OR(NOT(ISNUMBER(AY$5)),N(Plano!$G15)=0,N(Plano!$K15)=0),"",IF(Plano!$K15+Plano!$G15*MAX(0,ROUNDUP((AY$5-Plano!$K15)/Plano!$G15,0))&lt;=IF(DAY(AY$5)&gt;=29,EOMONTH(AY$5,0),AY$5+6),"●",""))</f>
        <v/>
      </c>
      <c r="AZ18" s="53" t="str">
        <f ca="1">IF(OR(NOT(ISNUMBER(AZ$5)),N(Plano!$G15)=0,N(Plano!$K15)=0),"",IF(Plano!$K15+Plano!$G15*MAX(0,ROUNDUP((AZ$5-Plano!$K15)/Plano!$G15,0))&lt;=IF(DAY(AZ$5)&gt;=29,EOMONTH(AZ$5,0),AZ$5+6),"●",""))</f>
        <v/>
      </c>
      <c r="BA18" s="53" t="str">
        <f ca="1">IF(OR(NOT(ISNUMBER(BA$5)),N(Plano!$G15)=0,N(Plano!$K15)=0),"",IF(Plano!$K15+Plano!$G15*MAX(0,ROUNDUP((BA$5-Plano!$K15)/Plano!$G15,0))&lt;=IF(DAY(BA$5)&gt;=29,EOMONTH(BA$5,0),BA$5+6),"●",""))</f>
        <v/>
      </c>
      <c r="BB18" s="53" t="str">
        <f ca="1">IF(OR(NOT(ISNUMBER(BB$5)),N(Plano!$G15)=0,N(Plano!$K15)=0),"",IF(Plano!$K15+Plano!$G15*MAX(0,ROUNDUP((BB$5-Plano!$K15)/Plano!$G15,0))&lt;=IF(DAY(BB$5)&gt;=29,EOMONTH(BB$5,0),BB$5+6),"●",""))</f>
        <v/>
      </c>
      <c r="BC18" s="53" t="str">
        <f ca="1">IF(OR(NOT(ISNUMBER(BC$5)),N(Plano!$G15)=0,N(Plano!$K15)=0),"",IF(Plano!$K15+Plano!$G15*MAX(0,ROUNDUP((BC$5-Plano!$K15)/Plano!$G15,0))&lt;=IF(DAY(BC$5)&gt;=29,EOMONTH(BC$5,0),BC$5+6),"●",""))</f>
        <v/>
      </c>
      <c r="BD18" s="54" t="str">
        <f ca="1">IF(OR(NOT(ISNUMBER(BD$5)),N(Plano!$G15)=0,N(Plano!$K15)=0),"",IF(Plano!$K15+Plano!$G15*MAX(0,ROUNDUP((BD$5-Plano!$K15)/Plano!$G15,0))&lt;=IF(DAY(BD$5)&gt;=29,EOMONTH(BD$5,0),BD$5+6),"●",""))</f>
        <v/>
      </c>
      <c r="BE18" s="53" t="str">
        <f ca="1">IF(OR(NOT(ISNUMBER(BE$5)),N(Plano!$G15)=0,N(Plano!$K15)=0),"",IF(Plano!$K15+Plano!$G15*MAX(0,ROUNDUP((BE$5-Plano!$K15)/Plano!$G15,0))&lt;=IF(DAY(BE$5)&gt;=29,EOMONTH(BE$5,0),BE$5+6),"●",""))</f>
        <v/>
      </c>
      <c r="BF18" s="53" t="str">
        <f ca="1">IF(OR(NOT(ISNUMBER(BF$5)),N(Plano!$G15)=0,N(Plano!$K15)=0),"",IF(Plano!$K15+Plano!$G15*MAX(0,ROUNDUP((BF$5-Plano!$K15)/Plano!$G15,0))&lt;=IF(DAY(BF$5)&gt;=29,EOMONTH(BF$5,0),BF$5+6),"●",""))</f>
        <v/>
      </c>
      <c r="BG18" s="53" t="str">
        <f ca="1">IF(OR(NOT(ISNUMBER(BG$5)),N(Plano!$G15)=0,N(Plano!$K15)=0),"",IF(Plano!$K15+Plano!$G15*MAX(0,ROUNDUP((BG$5-Plano!$K15)/Plano!$G15,0))&lt;=IF(DAY(BG$5)&gt;=29,EOMONTH(BG$5,0),BG$5+6),"●",""))</f>
        <v/>
      </c>
      <c r="BH18" s="53" t="str">
        <f ca="1">IF(OR(NOT(ISNUMBER(BH$5)),N(Plano!$G15)=0,N(Plano!$K15)=0),"",IF(Plano!$K15+Plano!$G15*MAX(0,ROUNDUP((BH$5-Plano!$K15)/Plano!$G15,0))&lt;=IF(DAY(BH$5)&gt;=29,EOMONTH(BH$5,0),BH$5+6),"●",""))</f>
        <v/>
      </c>
      <c r="BI18" s="54" t="str">
        <f ca="1">IF(OR(NOT(ISNUMBER(BI$5)),N(Plano!$G15)=0,N(Plano!$K15)=0),"",IF(Plano!$K15+Plano!$G15*MAX(0,ROUNDUP((BI$5-Plano!$K15)/Plano!$G15,0))&lt;=IF(DAY(BI$5)&gt;=29,EOMONTH(BI$5,0),BI$5+6),"●",""))</f>
        <v/>
      </c>
      <c r="BJ18" s="53" t="str">
        <f ca="1">IF(OR(NOT(ISNUMBER(BJ$5)),N(Plano!$G15)=0,N(Plano!$K15)=0),"",IF(Plano!$K15+Plano!$G15*MAX(0,ROUNDUP((BJ$5-Plano!$K15)/Plano!$G15,0))&lt;=IF(DAY(BJ$5)&gt;=29,EOMONTH(BJ$5,0),BJ$5+6),"●",""))</f>
        <v/>
      </c>
      <c r="BK18" s="53" t="str">
        <f ca="1">IF(OR(NOT(ISNUMBER(BK$5)),N(Plano!$G15)=0,N(Plano!$K15)=0),"",IF(Plano!$K15+Plano!$G15*MAX(0,ROUNDUP((BK$5-Plano!$K15)/Plano!$G15,0))&lt;=IF(DAY(BK$5)&gt;=29,EOMONTH(BK$5,0),BK$5+6),"●",""))</f>
        <v/>
      </c>
      <c r="BL18" s="53" t="str">
        <f ca="1">IF(OR(NOT(ISNUMBER(BL$5)),N(Plano!$G15)=0,N(Plano!$K15)=0),"",IF(Plano!$K15+Plano!$G15*MAX(0,ROUNDUP((BL$5-Plano!$K15)/Plano!$G15,0))&lt;=IF(DAY(BL$5)&gt;=29,EOMONTH(BL$5,0),BL$5+6),"●",""))</f>
        <v/>
      </c>
      <c r="BM18" s="55" t="str">
        <f ca="1">IF(OR(NOT(ISNUMBER(BM$5)),N(Plano!$G15)=0,N(Plano!$K15)=0),"",IF(Plano!$K15+Plano!$G15*MAX(0,ROUNDUP((BM$5-Plano!$K15)/Plano!$G15,0))&lt;=IF(DAY(BM$5)&gt;=29,EOMONTH(BM$5,0),BM$5+6),"●",""))</f>
        <v/>
      </c>
    </row>
    <row r="19" spans="1:65" ht="18" customHeight="1">
      <c r="A19" s="40">
        <f>Plano!A16</f>
        <v>12</v>
      </c>
      <c r="B19" s="51" t="str">
        <f>IF(Plano!B16="","",Plano!B16)</f>
        <v/>
      </c>
      <c r="C19" s="20" t="str">
        <f>IF(B19="","",IFERROR(INDEX(tb_pcm_ativos[descricao_ativo],MATCH(B19,tb_pcm_ativos[tag],0)),"fora do cadastro"))</f>
        <v/>
      </c>
      <c r="D19" s="20" t="str">
        <f>IF(Plano!E16="","",Plano!E16)</f>
        <v/>
      </c>
      <c r="E19" s="52" t="str">
        <f>IF(Plano!G16="","",Plano!G16)</f>
        <v/>
      </c>
      <c r="F19" s="53" t="str">
        <f ca="1">IF(OR(NOT(ISNUMBER(F$5)),N(Plano!$G16)=0,N(Plano!$K16)=0),"",IF(Plano!$K16+Plano!$G16*MAX(0,ROUNDUP((F$5-Plano!$K16)/Plano!$G16,0))&lt;=IF(DAY(F$5)&gt;=29,EOMONTH(F$5,0),F$5+6),"●",""))</f>
        <v/>
      </c>
      <c r="G19" s="53" t="str">
        <f ca="1">IF(OR(NOT(ISNUMBER(G$5)),N(Plano!$G16)=0,N(Plano!$K16)=0),"",IF(Plano!$K16+Plano!$G16*MAX(0,ROUNDUP((G$5-Plano!$K16)/Plano!$G16,0))&lt;=IF(DAY(G$5)&gt;=29,EOMONTH(G$5,0),G$5+6),"●",""))</f>
        <v/>
      </c>
      <c r="H19" s="53" t="str">
        <f ca="1">IF(OR(NOT(ISNUMBER(H$5)),N(Plano!$G16)=0,N(Plano!$K16)=0),"",IF(Plano!$K16+Plano!$G16*MAX(0,ROUNDUP((H$5-Plano!$K16)/Plano!$G16,0))&lt;=IF(DAY(H$5)&gt;=29,EOMONTH(H$5,0),H$5+6),"●",""))</f>
        <v/>
      </c>
      <c r="I19" s="53" t="str">
        <f ca="1">IF(OR(NOT(ISNUMBER(I$5)),N(Plano!$G16)=0,N(Plano!$K16)=0),"",IF(Plano!$K16+Plano!$G16*MAX(0,ROUNDUP((I$5-Plano!$K16)/Plano!$G16,0))&lt;=IF(DAY(I$5)&gt;=29,EOMONTH(I$5,0),I$5+6),"●",""))</f>
        <v/>
      </c>
      <c r="J19" s="53" t="str">
        <f ca="1">IF(OR(NOT(ISNUMBER(J$5)),N(Plano!$G16)=0,N(Plano!$K16)=0),"",IF(Plano!$K16+Plano!$G16*MAX(0,ROUNDUP((J$5-Plano!$K16)/Plano!$G16,0))&lt;=IF(DAY(J$5)&gt;=29,EOMONTH(J$5,0),J$5+6),"●",""))</f>
        <v/>
      </c>
      <c r="K19" s="54" t="str">
        <f ca="1">IF(OR(NOT(ISNUMBER(K$5)),N(Plano!$G16)=0,N(Plano!$K16)=0),"",IF(Plano!$K16+Plano!$G16*MAX(0,ROUNDUP((K$5-Plano!$K16)/Plano!$G16,0))&lt;=IF(DAY(K$5)&gt;=29,EOMONTH(K$5,0),K$5+6),"●",""))</f>
        <v/>
      </c>
      <c r="L19" s="53" t="str">
        <f ca="1">IF(OR(NOT(ISNUMBER(L$5)),N(Plano!$G16)=0,N(Plano!$K16)=0),"",IF(Plano!$K16+Plano!$G16*MAX(0,ROUNDUP((L$5-Plano!$K16)/Plano!$G16,0))&lt;=IF(DAY(L$5)&gt;=29,EOMONTH(L$5,0),L$5+6),"●",""))</f>
        <v/>
      </c>
      <c r="M19" s="53" t="str">
        <f ca="1">IF(OR(NOT(ISNUMBER(M$5)),N(Plano!$G16)=0,N(Plano!$K16)=0),"",IF(Plano!$K16+Plano!$G16*MAX(0,ROUNDUP((M$5-Plano!$K16)/Plano!$G16,0))&lt;=IF(DAY(M$5)&gt;=29,EOMONTH(M$5,0),M$5+6),"●",""))</f>
        <v/>
      </c>
      <c r="N19" s="53" t="str">
        <f ca="1">IF(OR(NOT(ISNUMBER(N$5)),N(Plano!$G16)=0,N(Plano!$K16)=0),"",IF(Plano!$K16+Plano!$G16*MAX(0,ROUNDUP((N$5-Plano!$K16)/Plano!$G16,0))&lt;=IF(DAY(N$5)&gt;=29,EOMONTH(N$5,0),N$5+6),"●",""))</f>
        <v/>
      </c>
      <c r="O19" s="53" t="str">
        <f ca="1">IF(OR(NOT(ISNUMBER(O$5)),N(Plano!$G16)=0,N(Plano!$K16)=0),"",IF(Plano!$K16+Plano!$G16*MAX(0,ROUNDUP((O$5-Plano!$K16)/Plano!$G16,0))&lt;=IF(DAY(O$5)&gt;=29,EOMONTH(O$5,0),O$5+6),"●",""))</f>
        <v/>
      </c>
      <c r="P19" s="54" t="str">
        <f ca="1">IF(OR(NOT(ISNUMBER(P$5)),N(Plano!$G16)=0,N(Plano!$K16)=0),"",IF(Plano!$K16+Plano!$G16*MAX(0,ROUNDUP((P$5-Plano!$K16)/Plano!$G16,0))&lt;=IF(DAY(P$5)&gt;=29,EOMONTH(P$5,0),P$5+6),"●",""))</f>
        <v/>
      </c>
      <c r="Q19" s="53" t="str">
        <f ca="1">IF(OR(NOT(ISNUMBER(Q$5)),N(Plano!$G16)=0,N(Plano!$K16)=0),"",IF(Plano!$K16+Plano!$G16*MAX(0,ROUNDUP((Q$5-Plano!$K16)/Plano!$G16,0))&lt;=IF(DAY(Q$5)&gt;=29,EOMONTH(Q$5,0),Q$5+6),"●",""))</f>
        <v/>
      </c>
      <c r="R19" s="53" t="str">
        <f ca="1">IF(OR(NOT(ISNUMBER(R$5)),N(Plano!$G16)=0,N(Plano!$K16)=0),"",IF(Plano!$K16+Plano!$G16*MAX(0,ROUNDUP((R$5-Plano!$K16)/Plano!$G16,0))&lt;=IF(DAY(R$5)&gt;=29,EOMONTH(R$5,0),R$5+6),"●",""))</f>
        <v/>
      </c>
      <c r="S19" s="53" t="str">
        <f ca="1">IF(OR(NOT(ISNUMBER(S$5)),N(Plano!$G16)=0,N(Plano!$K16)=0),"",IF(Plano!$K16+Plano!$G16*MAX(0,ROUNDUP((S$5-Plano!$K16)/Plano!$G16,0))&lt;=IF(DAY(S$5)&gt;=29,EOMONTH(S$5,0),S$5+6),"●",""))</f>
        <v/>
      </c>
      <c r="T19" s="53" t="str">
        <f ca="1">IF(OR(NOT(ISNUMBER(T$5)),N(Plano!$G16)=0,N(Plano!$K16)=0),"",IF(Plano!$K16+Plano!$G16*MAX(0,ROUNDUP((T$5-Plano!$K16)/Plano!$G16,0))&lt;=IF(DAY(T$5)&gt;=29,EOMONTH(T$5,0),T$5+6),"●",""))</f>
        <v/>
      </c>
      <c r="U19" s="54" t="str">
        <f ca="1">IF(OR(NOT(ISNUMBER(U$5)),N(Plano!$G16)=0,N(Plano!$K16)=0),"",IF(Plano!$K16+Plano!$G16*MAX(0,ROUNDUP((U$5-Plano!$K16)/Plano!$G16,0))&lt;=IF(DAY(U$5)&gt;=29,EOMONTH(U$5,0),U$5+6),"●",""))</f>
        <v/>
      </c>
      <c r="V19" s="53" t="str">
        <f ca="1">IF(OR(NOT(ISNUMBER(V$5)),N(Plano!$G16)=0,N(Plano!$K16)=0),"",IF(Plano!$K16+Plano!$G16*MAX(0,ROUNDUP((V$5-Plano!$K16)/Plano!$G16,0))&lt;=IF(DAY(V$5)&gt;=29,EOMONTH(V$5,0),V$5+6),"●",""))</f>
        <v/>
      </c>
      <c r="W19" s="53" t="str">
        <f ca="1">IF(OR(NOT(ISNUMBER(W$5)),N(Plano!$G16)=0,N(Plano!$K16)=0),"",IF(Plano!$K16+Plano!$G16*MAX(0,ROUNDUP((W$5-Plano!$K16)/Plano!$G16,0))&lt;=IF(DAY(W$5)&gt;=29,EOMONTH(W$5,0),W$5+6),"●",""))</f>
        <v/>
      </c>
      <c r="X19" s="53" t="str">
        <f ca="1">IF(OR(NOT(ISNUMBER(X$5)),N(Plano!$G16)=0,N(Plano!$K16)=0),"",IF(Plano!$K16+Plano!$G16*MAX(0,ROUNDUP((X$5-Plano!$K16)/Plano!$G16,0))&lt;=IF(DAY(X$5)&gt;=29,EOMONTH(X$5,0),X$5+6),"●",""))</f>
        <v/>
      </c>
      <c r="Y19" s="53" t="str">
        <f ca="1">IF(OR(NOT(ISNUMBER(Y$5)),N(Plano!$G16)=0,N(Plano!$K16)=0),"",IF(Plano!$K16+Plano!$G16*MAX(0,ROUNDUP((Y$5-Plano!$K16)/Plano!$G16,0))&lt;=IF(DAY(Y$5)&gt;=29,EOMONTH(Y$5,0),Y$5+6),"●",""))</f>
        <v/>
      </c>
      <c r="Z19" s="54" t="str">
        <f ca="1">IF(OR(NOT(ISNUMBER(Z$5)),N(Plano!$G16)=0,N(Plano!$K16)=0),"",IF(Plano!$K16+Plano!$G16*MAX(0,ROUNDUP((Z$5-Plano!$K16)/Plano!$G16,0))&lt;=IF(DAY(Z$5)&gt;=29,EOMONTH(Z$5,0),Z$5+6),"●",""))</f>
        <v/>
      </c>
      <c r="AA19" s="53" t="str">
        <f ca="1">IF(OR(NOT(ISNUMBER(AA$5)),N(Plano!$G16)=0,N(Plano!$K16)=0),"",IF(Plano!$K16+Plano!$G16*MAX(0,ROUNDUP((AA$5-Plano!$K16)/Plano!$G16,0))&lt;=IF(DAY(AA$5)&gt;=29,EOMONTH(AA$5,0),AA$5+6),"●",""))</f>
        <v/>
      </c>
      <c r="AB19" s="53" t="str">
        <f ca="1">IF(OR(NOT(ISNUMBER(AB$5)),N(Plano!$G16)=0,N(Plano!$K16)=0),"",IF(Plano!$K16+Plano!$G16*MAX(0,ROUNDUP((AB$5-Plano!$K16)/Plano!$G16,0))&lt;=IF(DAY(AB$5)&gt;=29,EOMONTH(AB$5,0),AB$5+6),"●",""))</f>
        <v/>
      </c>
      <c r="AC19" s="53" t="str">
        <f ca="1">IF(OR(NOT(ISNUMBER(AC$5)),N(Plano!$G16)=0,N(Plano!$K16)=0),"",IF(Plano!$K16+Plano!$G16*MAX(0,ROUNDUP((AC$5-Plano!$K16)/Plano!$G16,0))&lt;=IF(DAY(AC$5)&gt;=29,EOMONTH(AC$5,0),AC$5+6),"●",""))</f>
        <v/>
      </c>
      <c r="AD19" s="53" t="str">
        <f ca="1">IF(OR(NOT(ISNUMBER(AD$5)),N(Plano!$G16)=0,N(Plano!$K16)=0),"",IF(Plano!$K16+Plano!$G16*MAX(0,ROUNDUP((AD$5-Plano!$K16)/Plano!$G16,0))&lt;=IF(DAY(AD$5)&gt;=29,EOMONTH(AD$5,0),AD$5+6),"●",""))</f>
        <v/>
      </c>
      <c r="AE19" s="54" t="str">
        <f ca="1">IF(OR(NOT(ISNUMBER(AE$5)),N(Plano!$G16)=0,N(Plano!$K16)=0),"",IF(Plano!$K16+Plano!$G16*MAX(0,ROUNDUP((AE$5-Plano!$K16)/Plano!$G16,0))&lt;=IF(DAY(AE$5)&gt;=29,EOMONTH(AE$5,0),AE$5+6),"●",""))</f>
        <v/>
      </c>
      <c r="AF19" s="53" t="str">
        <f ca="1">IF(OR(NOT(ISNUMBER(AF$5)),N(Plano!$G16)=0,N(Plano!$K16)=0),"",IF(Plano!$K16+Plano!$G16*MAX(0,ROUNDUP((AF$5-Plano!$K16)/Plano!$G16,0))&lt;=IF(DAY(AF$5)&gt;=29,EOMONTH(AF$5,0),AF$5+6),"●",""))</f>
        <v/>
      </c>
      <c r="AG19" s="53" t="str">
        <f ca="1">IF(OR(NOT(ISNUMBER(AG$5)),N(Plano!$G16)=0,N(Plano!$K16)=0),"",IF(Plano!$K16+Plano!$G16*MAX(0,ROUNDUP((AG$5-Plano!$K16)/Plano!$G16,0))&lt;=IF(DAY(AG$5)&gt;=29,EOMONTH(AG$5,0),AG$5+6),"●",""))</f>
        <v/>
      </c>
      <c r="AH19" s="53" t="str">
        <f ca="1">IF(OR(NOT(ISNUMBER(AH$5)),N(Plano!$G16)=0,N(Plano!$K16)=0),"",IF(Plano!$K16+Plano!$G16*MAX(0,ROUNDUP((AH$5-Plano!$K16)/Plano!$G16,0))&lt;=IF(DAY(AH$5)&gt;=29,EOMONTH(AH$5,0),AH$5+6),"●",""))</f>
        <v/>
      </c>
      <c r="AI19" s="53" t="str">
        <f ca="1">IF(OR(NOT(ISNUMBER(AI$5)),N(Plano!$G16)=0,N(Plano!$K16)=0),"",IF(Plano!$K16+Plano!$G16*MAX(0,ROUNDUP((AI$5-Plano!$K16)/Plano!$G16,0))&lt;=IF(DAY(AI$5)&gt;=29,EOMONTH(AI$5,0),AI$5+6),"●",""))</f>
        <v/>
      </c>
      <c r="AJ19" s="54" t="str">
        <f ca="1">IF(OR(NOT(ISNUMBER(AJ$5)),N(Plano!$G16)=0,N(Plano!$K16)=0),"",IF(Plano!$K16+Plano!$G16*MAX(0,ROUNDUP((AJ$5-Plano!$K16)/Plano!$G16,0))&lt;=IF(DAY(AJ$5)&gt;=29,EOMONTH(AJ$5,0),AJ$5+6),"●",""))</f>
        <v/>
      </c>
      <c r="AK19" s="53" t="str">
        <f ca="1">IF(OR(NOT(ISNUMBER(AK$5)),N(Plano!$G16)=0,N(Plano!$K16)=0),"",IF(Plano!$K16+Plano!$G16*MAX(0,ROUNDUP((AK$5-Plano!$K16)/Plano!$G16,0))&lt;=IF(DAY(AK$5)&gt;=29,EOMONTH(AK$5,0),AK$5+6),"●",""))</f>
        <v/>
      </c>
      <c r="AL19" s="53" t="str">
        <f ca="1">IF(OR(NOT(ISNUMBER(AL$5)),N(Plano!$G16)=0,N(Plano!$K16)=0),"",IF(Plano!$K16+Plano!$G16*MAX(0,ROUNDUP((AL$5-Plano!$K16)/Plano!$G16,0))&lt;=IF(DAY(AL$5)&gt;=29,EOMONTH(AL$5,0),AL$5+6),"●",""))</f>
        <v/>
      </c>
      <c r="AM19" s="53" t="str">
        <f ca="1">IF(OR(NOT(ISNUMBER(AM$5)),N(Plano!$G16)=0,N(Plano!$K16)=0),"",IF(Plano!$K16+Plano!$G16*MAX(0,ROUNDUP((AM$5-Plano!$K16)/Plano!$G16,0))&lt;=IF(DAY(AM$5)&gt;=29,EOMONTH(AM$5,0),AM$5+6),"●",""))</f>
        <v/>
      </c>
      <c r="AN19" s="53" t="str">
        <f ca="1">IF(OR(NOT(ISNUMBER(AN$5)),N(Plano!$G16)=0,N(Plano!$K16)=0),"",IF(Plano!$K16+Plano!$G16*MAX(0,ROUNDUP((AN$5-Plano!$K16)/Plano!$G16,0))&lt;=IF(DAY(AN$5)&gt;=29,EOMONTH(AN$5,0),AN$5+6),"●",""))</f>
        <v/>
      </c>
      <c r="AO19" s="54" t="str">
        <f ca="1">IF(OR(NOT(ISNUMBER(AO$5)),N(Plano!$G16)=0,N(Plano!$K16)=0),"",IF(Plano!$K16+Plano!$G16*MAX(0,ROUNDUP((AO$5-Plano!$K16)/Plano!$G16,0))&lt;=IF(DAY(AO$5)&gt;=29,EOMONTH(AO$5,0),AO$5+6),"●",""))</f>
        <v/>
      </c>
      <c r="AP19" s="53" t="str">
        <f ca="1">IF(OR(NOT(ISNUMBER(AP$5)),N(Plano!$G16)=0,N(Plano!$K16)=0),"",IF(Plano!$K16+Plano!$G16*MAX(0,ROUNDUP((AP$5-Plano!$K16)/Plano!$G16,0))&lt;=IF(DAY(AP$5)&gt;=29,EOMONTH(AP$5,0),AP$5+6),"●",""))</f>
        <v/>
      </c>
      <c r="AQ19" s="53" t="str">
        <f ca="1">IF(OR(NOT(ISNUMBER(AQ$5)),N(Plano!$G16)=0,N(Plano!$K16)=0),"",IF(Plano!$K16+Plano!$G16*MAX(0,ROUNDUP((AQ$5-Plano!$K16)/Plano!$G16,0))&lt;=IF(DAY(AQ$5)&gt;=29,EOMONTH(AQ$5,0),AQ$5+6),"●",""))</f>
        <v/>
      </c>
      <c r="AR19" s="53" t="str">
        <f ca="1">IF(OR(NOT(ISNUMBER(AR$5)),N(Plano!$G16)=0,N(Plano!$K16)=0),"",IF(Plano!$K16+Plano!$G16*MAX(0,ROUNDUP((AR$5-Plano!$K16)/Plano!$G16,0))&lt;=IF(DAY(AR$5)&gt;=29,EOMONTH(AR$5,0),AR$5+6),"●",""))</f>
        <v/>
      </c>
      <c r="AS19" s="53" t="str">
        <f ca="1">IF(OR(NOT(ISNUMBER(AS$5)),N(Plano!$G16)=0,N(Plano!$K16)=0),"",IF(Plano!$K16+Plano!$G16*MAX(0,ROUNDUP((AS$5-Plano!$K16)/Plano!$G16,0))&lt;=IF(DAY(AS$5)&gt;=29,EOMONTH(AS$5,0),AS$5+6),"●",""))</f>
        <v/>
      </c>
      <c r="AT19" s="54" t="str">
        <f ca="1">IF(OR(NOT(ISNUMBER(AT$5)),N(Plano!$G16)=0,N(Plano!$K16)=0),"",IF(Plano!$K16+Plano!$G16*MAX(0,ROUNDUP((AT$5-Plano!$K16)/Plano!$G16,0))&lt;=IF(DAY(AT$5)&gt;=29,EOMONTH(AT$5,0),AT$5+6),"●",""))</f>
        <v/>
      </c>
      <c r="AU19" s="53" t="str">
        <f ca="1">IF(OR(NOT(ISNUMBER(AU$5)),N(Plano!$G16)=0,N(Plano!$K16)=0),"",IF(Plano!$K16+Plano!$G16*MAX(0,ROUNDUP((AU$5-Plano!$K16)/Plano!$G16,0))&lt;=IF(DAY(AU$5)&gt;=29,EOMONTH(AU$5,0),AU$5+6),"●",""))</f>
        <v/>
      </c>
      <c r="AV19" s="53" t="str">
        <f ca="1">IF(OR(NOT(ISNUMBER(AV$5)),N(Plano!$G16)=0,N(Plano!$K16)=0),"",IF(Plano!$K16+Plano!$G16*MAX(0,ROUNDUP((AV$5-Plano!$K16)/Plano!$G16,0))&lt;=IF(DAY(AV$5)&gt;=29,EOMONTH(AV$5,0),AV$5+6),"●",""))</f>
        <v/>
      </c>
      <c r="AW19" s="53" t="str">
        <f ca="1">IF(OR(NOT(ISNUMBER(AW$5)),N(Plano!$G16)=0,N(Plano!$K16)=0),"",IF(Plano!$K16+Plano!$G16*MAX(0,ROUNDUP((AW$5-Plano!$K16)/Plano!$G16,0))&lt;=IF(DAY(AW$5)&gt;=29,EOMONTH(AW$5,0),AW$5+6),"●",""))</f>
        <v/>
      </c>
      <c r="AX19" s="53" t="str">
        <f ca="1">IF(OR(NOT(ISNUMBER(AX$5)),N(Plano!$G16)=0,N(Plano!$K16)=0),"",IF(Plano!$K16+Plano!$G16*MAX(0,ROUNDUP((AX$5-Plano!$K16)/Plano!$G16,0))&lt;=IF(DAY(AX$5)&gt;=29,EOMONTH(AX$5,0),AX$5+6),"●",""))</f>
        <v/>
      </c>
      <c r="AY19" s="54" t="str">
        <f ca="1">IF(OR(NOT(ISNUMBER(AY$5)),N(Plano!$G16)=0,N(Plano!$K16)=0),"",IF(Plano!$K16+Plano!$G16*MAX(0,ROUNDUP((AY$5-Plano!$K16)/Plano!$G16,0))&lt;=IF(DAY(AY$5)&gt;=29,EOMONTH(AY$5,0),AY$5+6),"●",""))</f>
        <v/>
      </c>
      <c r="AZ19" s="53" t="str">
        <f ca="1">IF(OR(NOT(ISNUMBER(AZ$5)),N(Plano!$G16)=0,N(Plano!$K16)=0),"",IF(Plano!$K16+Plano!$G16*MAX(0,ROUNDUP((AZ$5-Plano!$K16)/Plano!$G16,0))&lt;=IF(DAY(AZ$5)&gt;=29,EOMONTH(AZ$5,0),AZ$5+6),"●",""))</f>
        <v/>
      </c>
      <c r="BA19" s="53" t="str">
        <f ca="1">IF(OR(NOT(ISNUMBER(BA$5)),N(Plano!$G16)=0,N(Plano!$K16)=0),"",IF(Plano!$K16+Plano!$G16*MAX(0,ROUNDUP((BA$5-Plano!$K16)/Plano!$G16,0))&lt;=IF(DAY(BA$5)&gt;=29,EOMONTH(BA$5,0),BA$5+6),"●",""))</f>
        <v/>
      </c>
      <c r="BB19" s="53" t="str">
        <f ca="1">IF(OR(NOT(ISNUMBER(BB$5)),N(Plano!$G16)=0,N(Plano!$K16)=0),"",IF(Plano!$K16+Plano!$G16*MAX(0,ROUNDUP((BB$5-Plano!$K16)/Plano!$G16,0))&lt;=IF(DAY(BB$5)&gt;=29,EOMONTH(BB$5,0),BB$5+6),"●",""))</f>
        <v/>
      </c>
      <c r="BC19" s="53" t="str">
        <f ca="1">IF(OR(NOT(ISNUMBER(BC$5)),N(Plano!$G16)=0,N(Plano!$K16)=0),"",IF(Plano!$K16+Plano!$G16*MAX(0,ROUNDUP((BC$5-Plano!$K16)/Plano!$G16,0))&lt;=IF(DAY(BC$5)&gt;=29,EOMONTH(BC$5,0),BC$5+6),"●",""))</f>
        <v/>
      </c>
      <c r="BD19" s="54" t="str">
        <f ca="1">IF(OR(NOT(ISNUMBER(BD$5)),N(Plano!$G16)=0,N(Plano!$K16)=0),"",IF(Plano!$K16+Plano!$G16*MAX(0,ROUNDUP((BD$5-Plano!$K16)/Plano!$G16,0))&lt;=IF(DAY(BD$5)&gt;=29,EOMONTH(BD$5,0),BD$5+6),"●",""))</f>
        <v/>
      </c>
      <c r="BE19" s="53" t="str">
        <f ca="1">IF(OR(NOT(ISNUMBER(BE$5)),N(Plano!$G16)=0,N(Plano!$K16)=0),"",IF(Plano!$K16+Plano!$G16*MAX(0,ROUNDUP((BE$5-Plano!$K16)/Plano!$G16,0))&lt;=IF(DAY(BE$5)&gt;=29,EOMONTH(BE$5,0),BE$5+6),"●",""))</f>
        <v/>
      </c>
      <c r="BF19" s="53" t="str">
        <f ca="1">IF(OR(NOT(ISNUMBER(BF$5)),N(Plano!$G16)=0,N(Plano!$K16)=0),"",IF(Plano!$K16+Plano!$G16*MAX(0,ROUNDUP((BF$5-Plano!$K16)/Plano!$G16,0))&lt;=IF(DAY(BF$5)&gt;=29,EOMONTH(BF$5,0),BF$5+6),"●",""))</f>
        <v/>
      </c>
      <c r="BG19" s="53" t="str">
        <f ca="1">IF(OR(NOT(ISNUMBER(BG$5)),N(Plano!$G16)=0,N(Plano!$K16)=0),"",IF(Plano!$K16+Plano!$G16*MAX(0,ROUNDUP((BG$5-Plano!$K16)/Plano!$G16,0))&lt;=IF(DAY(BG$5)&gt;=29,EOMONTH(BG$5,0),BG$5+6),"●",""))</f>
        <v/>
      </c>
      <c r="BH19" s="53" t="str">
        <f ca="1">IF(OR(NOT(ISNUMBER(BH$5)),N(Plano!$G16)=0,N(Plano!$K16)=0),"",IF(Plano!$K16+Plano!$G16*MAX(0,ROUNDUP((BH$5-Plano!$K16)/Plano!$G16,0))&lt;=IF(DAY(BH$5)&gt;=29,EOMONTH(BH$5,0),BH$5+6),"●",""))</f>
        <v/>
      </c>
      <c r="BI19" s="54" t="str">
        <f ca="1">IF(OR(NOT(ISNUMBER(BI$5)),N(Plano!$G16)=0,N(Plano!$K16)=0),"",IF(Plano!$K16+Plano!$G16*MAX(0,ROUNDUP((BI$5-Plano!$K16)/Plano!$G16,0))&lt;=IF(DAY(BI$5)&gt;=29,EOMONTH(BI$5,0),BI$5+6),"●",""))</f>
        <v/>
      </c>
      <c r="BJ19" s="53" t="str">
        <f ca="1">IF(OR(NOT(ISNUMBER(BJ$5)),N(Plano!$G16)=0,N(Plano!$K16)=0),"",IF(Plano!$K16+Plano!$G16*MAX(0,ROUNDUP((BJ$5-Plano!$K16)/Plano!$G16,0))&lt;=IF(DAY(BJ$5)&gt;=29,EOMONTH(BJ$5,0),BJ$5+6),"●",""))</f>
        <v/>
      </c>
      <c r="BK19" s="53" t="str">
        <f ca="1">IF(OR(NOT(ISNUMBER(BK$5)),N(Plano!$G16)=0,N(Plano!$K16)=0),"",IF(Plano!$K16+Plano!$G16*MAX(0,ROUNDUP((BK$5-Plano!$K16)/Plano!$G16,0))&lt;=IF(DAY(BK$5)&gt;=29,EOMONTH(BK$5,0),BK$5+6),"●",""))</f>
        <v/>
      </c>
      <c r="BL19" s="53" t="str">
        <f ca="1">IF(OR(NOT(ISNUMBER(BL$5)),N(Plano!$G16)=0,N(Plano!$K16)=0),"",IF(Plano!$K16+Plano!$G16*MAX(0,ROUNDUP((BL$5-Plano!$K16)/Plano!$G16,0))&lt;=IF(DAY(BL$5)&gt;=29,EOMONTH(BL$5,0),BL$5+6),"●",""))</f>
        <v/>
      </c>
      <c r="BM19" s="55" t="str">
        <f ca="1">IF(OR(NOT(ISNUMBER(BM$5)),N(Plano!$G16)=0,N(Plano!$K16)=0),"",IF(Plano!$K16+Plano!$G16*MAX(0,ROUNDUP((BM$5-Plano!$K16)/Plano!$G16,0))&lt;=IF(DAY(BM$5)&gt;=29,EOMONTH(BM$5,0),BM$5+6),"●",""))</f>
        <v/>
      </c>
    </row>
    <row r="20" spans="1:65" ht="18" customHeight="1">
      <c r="A20" s="40">
        <f>Plano!A17</f>
        <v>13</v>
      </c>
      <c r="B20" s="51" t="str">
        <f>IF(Plano!B17="","",Plano!B17)</f>
        <v/>
      </c>
      <c r="C20" s="20" t="str">
        <f>IF(B20="","",IFERROR(INDEX(tb_pcm_ativos[descricao_ativo],MATCH(B20,tb_pcm_ativos[tag],0)),"fora do cadastro"))</f>
        <v/>
      </c>
      <c r="D20" s="20" t="str">
        <f>IF(Plano!E17="","",Plano!E17)</f>
        <v/>
      </c>
      <c r="E20" s="52" t="str">
        <f>IF(Plano!G17="","",Plano!G17)</f>
        <v/>
      </c>
      <c r="F20" s="53" t="str">
        <f ca="1">IF(OR(NOT(ISNUMBER(F$5)),N(Plano!$G17)=0,N(Plano!$K17)=0),"",IF(Plano!$K17+Plano!$G17*MAX(0,ROUNDUP((F$5-Plano!$K17)/Plano!$G17,0))&lt;=IF(DAY(F$5)&gt;=29,EOMONTH(F$5,0),F$5+6),"●",""))</f>
        <v/>
      </c>
      <c r="G20" s="53" t="str">
        <f ca="1">IF(OR(NOT(ISNUMBER(G$5)),N(Plano!$G17)=0,N(Plano!$K17)=0),"",IF(Plano!$K17+Plano!$G17*MAX(0,ROUNDUP((G$5-Plano!$K17)/Plano!$G17,0))&lt;=IF(DAY(G$5)&gt;=29,EOMONTH(G$5,0),G$5+6),"●",""))</f>
        <v/>
      </c>
      <c r="H20" s="53" t="str">
        <f ca="1">IF(OR(NOT(ISNUMBER(H$5)),N(Plano!$G17)=0,N(Plano!$K17)=0),"",IF(Plano!$K17+Plano!$G17*MAX(0,ROUNDUP((H$5-Plano!$K17)/Plano!$G17,0))&lt;=IF(DAY(H$5)&gt;=29,EOMONTH(H$5,0),H$5+6),"●",""))</f>
        <v/>
      </c>
      <c r="I20" s="53" t="str">
        <f ca="1">IF(OR(NOT(ISNUMBER(I$5)),N(Plano!$G17)=0,N(Plano!$K17)=0),"",IF(Plano!$K17+Plano!$G17*MAX(0,ROUNDUP((I$5-Plano!$K17)/Plano!$G17,0))&lt;=IF(DAY(I$5)&gt;=29,EOMONTH(I$5,0),I$5+6),"●",""))</f>
        <v/>
      </c>
      <c r="J20" s="53" t="str">
        <f ca="1">IF(OR(NOT(ISNUMBER(J$5)),N(Plano!$G17)=0,N(Plano!$K17)=0),"",IF(Plano!$K17+Plano!$G17*MAX(0,ROUNDUP((J$5-Plano!$K17)/Plano!$G17,0))&lt;=IF(DAY(J$5)&gt;=29,EOMONTH(J$5,0),J$5+6),"●",""))</f>
        <v/>
      </c>
      <c r="K20" s="54" t="str">
        <f ca="1">IF(OR(NOT(ISNUMBER(K$5)),N(Plano!$G17)=0,N(Plano!$K17)=0),"",IF(Plano!$K17+Plano!$G17*MAX(0,ROUNDUP((K$5-Plano!$K17)/Plano!$G17,0))&lt;=IF(DAY(K$5)&gt;=29,EOMONTH(K$5,0),K$5+6),"●",""))</f>
        <v/>
      </c>
      <c r="L20" s="53" t="str">
        <f ca="1">IF(OR(NOT(ISNUMBER(L$5)),N(Plano!$G17)=0,N(Plano!$K17)=0),"",IF(Plano!$K17+Plano!$G17*MAX(0,ROUNDUP((L$5-Plano!$K17)/Plano!$G17,0))&lt;=IF(DAY(L$5)&gt;=29,EOMONTH(L$5,0),L$5+6),"●",""))</f>
        <v/>
      </c>
      <c r="M20" s="53" t="str">
        <f ca="1">IF(OR(NOT(ISNUMBER(M$5)),N(Plano!$G17)=0,N(Plano!$K17)=0),"",IF(Plano!$K17+Plano!$G17*MAX(0,ROUNDUP((M$5-Plano!$K17)/Plano!$G17,0))&lt;=IF(DAY(M$5)&gt;=29,EOMONTH(M$5,0),M$5+6),"●",""))</f>
        <v/>
      </c>
      <c r="N20" s="53" t="str">
        <f ca="1">IF(OR(NOT(ISNUMBER(N$5)),N(Plano!$G17)=0,N(Plano!$K17)=0),"",IF(Plano!$K17+Plano!$G17*MAX(0,ROUNDUP((N$5-Plano!$K17)/Plano!$G17,0))&lt;=IF(DAY(N$5)&gt;=29,EOMONTH(N$5,0),N$5+6),"●",""))</f>
        <v/>
      </c>
      <c r="O20" s="53" t="str">
        <f ca="1">IF(OR(NOT(ISNUMBER(O$5)),N(Plano!$G17)=0,N(Plano!$K17)=0),"",IF(Plano!$K17+Plano!$G17*MAX(0,ROUNDUP((O$5-Plano!$K17)/Plano!$G17,0))&lt;=IF(DAY(O$5)&gt;=29,EOMONTH(O$5,0),O$5+6),"●",""))</f>
        <v/>
      </c>
      <c r="P20" s="54" t="str">
        <f ca="1">IF(OR(NOT(ISNUMBER(P$5)),N(Plano!$G17)=0,N(Plano!$K17)=0),"",IF(Plano!$K17+Plano!$G17*MAX(0,ROUNDUP((P$5-Plano!$K17)/Plano!$G17,0))&lt;=IF(DAY(P$5)&gt;=29,EOMONTH(P$5,0),P$5+6),"●",""))</f>
        <v/>
      </c>
      <c r="Q20" s="53" t="str">
        <f ca="1">IF(OR(NOT(ISNUMBER(Q$5)),N(Plano!$G17)=0,N(Plano!$K17)=0),"",IF(Plano!$K17+Plano!$G17*MAX(0,ROUNDUP((Q$5-Plano!$K17)/Plano!$G17,0))&lt;=IF(DAY(Q$5)&gt;=29,EOMONTH(Q$5,0),Q$5+6),"●",""))</f>
        <v/>
      </c>
      <c r="R20" s="53" t="str">
        <f ca="1">IF(OR(NOT(ISNUMBER(R$5)),N(Plano!$G17)=0,N(Plano!$K17)=0),"",IF(Plano!$K17+Plano!$G17*MAX(0,ROUNDUP((R$5-Plano!$K17)/Plano!$G17,0))&lt;=IF(DAY(R$5)&gt;=29,EOMONTH(R$5,0),R$5+6),"●",""))</f>
        <v/>
      </c>
      <c r="S20" s="53" t="str">
        <f ca="1">IF(OR(NOT(ISNUMBER(S$5)),N(Plano!$G17)=0,N(Plano!$K17)=0),"",IF(Plano!$K17+Plano!$G17*MAX(0,ROUNDUP((S$5-Plano!$K17)/Plano!$G17,0))&lt;=IF(DAY(S$5)&gt;=29,EOMONTH(S$5,0),S$5+6),"●",""))</f>
        <v/>
      </c>
      <c r="T20" s="53" t="str">
        <f ca="1">IF(OR(NOT(ISNUMBER(T$5)),N(Plano!$G17)=0,N(Plano!$K17)=0),"",IF(Plano!$K17+Plano!$G17*MAX(0,ROUNDUP((T$5-Plano!$K17)/Plano!$G17,0))&lt;=IF(DAY(T$5)&gt;=29,EOMONTH(T$5,0),T$5+6),"●",""))</f>
        <v/>
      </c>
      <c r="U20" s="54" t="str">
        <f ca="1">IF(OR(NOT(ISNUMBER(U$5)),N(Plano!$G17)=0,N(Plano!$K17)=0),"",IF(Plano!$K17+Plano!$G17*MAX(0,ROUNDUP((U$5-Plano!$K17)/Plano!$G17,0))&lt;=IF(DAY(U$5)&gt;=29,EOMONTH(U$5,0),U$5+6),"●",""))</f>
        <v/>
      </c>
      <c r="V20" s="53" t="str">
        <f ca="1">IF(OR(NOT(ISNUMBER(V$5)),N(Plano!$G17)=0,N(Plano!$K17)=0),"",IF(Plano!$K17+Plano!$G17*MAX(0,ROUNDUP((V$5-Plano!$K17)/Plano!$G17,0))&lt;=IF(DAY(V$5)&gt;=29,EOMONTH(V$5,0),V$5+6),"●",""))</f>
        <v/>
      </c>
      <c r="W20" s="53" t="str">
        <f ca="1">IF(OR(NOT(ISNUMBER(W$5)),N(Plano!$G17)=0,N(Plano!$K17)=0),"",IF(Plano!$K17+Plano!$G17*MAX(0,ROUNDUP((W$5-Plano!$K17)/Plano!$G17,0))&lt;=IF(DAY(W$5)&gt;=29,EOMONTH(W$5,0),W$5+6),"●",""))</f>
        <v/>
      </c>
      <c r="X20" s="53" t="str">
        <f ca="1">IF(OR(NOT(ISNUMBER(X$5)),N(Plano!$G17)=0,N(Plano!$K17)=0),"",IF(Plano!$K17+Plano!$G17*MAX(0,ROUNDUP((X$5-Plano!$K17)/Plano!$G17,0))&lt;=IF(DAY(X$5)&gt;=29,EOMONTH(X$5,0),X$5+6),"●",""))</f>
        <v/>
      </c>
      <c r="Y20" s="53" t="str">
        <f ca="1">IF(OR(NOT(ISNUMBER(Y$5)),N(Plano!$G17)=0,N(Plano!$K17)=0),"",IF(Plano!$K17+Plano!$G17*MAX(0,ROUNDUP((Y$5-Plano!$K17)/Plano!$G17,0))&lt;=IF(DAY(Y$5)&gt;=29,EOMONTH(Y$5,0),Y$5+6),"●",""))</f>
        <v/>
      </c>
      <c r="Z20" s="54" t="str">
        <f ca="1">IF(OR(NOT(ISNUMBER(Z$5)),N(Plano!$G17)=0,N(Plano!$K17)=0),"",IF(Plano!$K17+Plano!$G17*MAX(0,ROUNDUP((Z$5-Plano!$K17)/Plano!$G17,0))&lt;=IF(DAY(Z$5)&gt;=29,EOMONTH(Z$5,0),Z$5+6),"●",""))</f>
        <v/>
      </c>
      <c r="AA20" s="53" t="str">
        <f ca="1">IF(OR(NOT(ISNUMBER(AA$5)),N(Plano!$G17)=0,N(Plano!$K17)=0),"",IF(Plano!$K17+Plano!$G17*MAX(0,ROUNDUP((AA$5-Plano!$K17)/Plano!$G17,0))&lt;=IF(DAY(AA$5)&gt;=29,EOMONTH(AA$5,0),AA$5+6),"●",""))</f>
        <v/>
      </c>
      <c r="AB20" s="53" t="str">
        <f ca="1">IF(OR(NOT(ISNUMBER(AB$5)),N(Plano!$G17)=0,N(Plano!$K17)=0),"",IF(Plano!$K17+Plano!$G17*MAX(0,ROUNDUP((AB$5-Plano!$K17)/Plano!$G17,0))&lt;=IF(DAY(AB$5)&gt;=29,EOMONTH(AB$5,0),AB$5+6),"●",""))</f>
        <v/>
      </c>
      <c r="AC20" s="53" t="str">
        <f ca="1">IF(OR(NOT(ISNUMBER(AC$5)),N(Plano!$G17)=0,N(Plano!$K17)=0),"",IF(Plano!$K17+Plano!$G17*MAX(0,ROUNDUP((AC$5-Plano!$K17)/Plano!$G17,0))&lt;=IF(DAY(AC$5)&gt;=29,EOMONTH(AC$5,0),AC$5+6),"●",""))</f>
        <v/>
      </c>
      <c r="AD20" s="53" t="str">
        <f ca="1">IF(OR(NOT(ISNUMBER(AD$5)),N(Plano!$G17)=0,N(Plano!$K17)=0),"",IF(Plano!$K17+Plano!$G17*MAX(0,ROUNDUP((AD$5-Plano!$K17)/Plano!$G17,0))&lt;=IF(DAY(AD$5)&gt;=29,EOMONTH(AD$5,0),AD$5+6),"●",""))</f>
        <v/>
      </c>
      <c r="AE20" s="54" t="str">
        <f ca="1">IF(OR(NOT(ISNUMBER(AE$5)),N(Plano!$G17)=0,N(Plano!$K17)=0),"",IF(Plano!$K17+Plano!$G17*MAX(0,ROUNDUP((AE$5-Plano!$K17)/Plano!$G17,0))&lt;=IF(DAY(AE$5)&gt;=29,EOMONTH(AE$5,0),AE$5+6),"●",""))</f>
        <v/>
      </c>
      <c r="AF20" s="53" t="str">
        <f ca="1">IF(OR(NOT(ISNUMBER(AF$5)),N(Plano!$G17)=0,N(Plano!$K17)=0),"",IF(Plano!$K17+Plano!$G17*MAX(0,ROUNDUP((AF$5-Plano!$K17)/Plano!$G17,0))&lt;=IF(DAY(AF$5)&gt;=29,EOMONTH(AF$5,0),AF$5+6),"●",""))</f>
        <v/>
      </c>
      <c r="AG20" s="53" t="str">
        <f ca="1">IF(OR(NOT(ISNUMBER(AG$5)),N(Plano!$G17)=0,N(Plano!$K17)=0),"",IF(Plano!$K17+Plano!$G17*MAX(0,ROUNDUP((AG$5-Plano!$K17)/Plano!$G17,0))&lt;=IF(DAY(AG$5)&gt;=29,EOMONTH(AG$5,0),AG$5+6),"●",""))</f>
        <v/>
      </c>
      <c r="AH20" s="53" t="str">
        <f ca="1">IF(OR(NOT(ISNUMBER(AH$5)),N(Plano!$G17)=0,N(Plano!$K17)=0),"",IF(Plano!$K17+Plano!$G17*MAX(0,ROUNDUP((AH$5-Plano!$K17)/Plano!$G17,0))&lt;=IF(DAY(AH$5)&gt;=29,EOMONTH(AH$5,0),AH$5+6),"●",""))</f>
        <v/>
      </c>
      <c r="AI20" s="53" t="str">
        <f ca="1">IF(OR(NOT(ISNUMBER(AI$5)),N(Plano!$G17)=0,N(Plano!$K17)=0),"",IF(Plano!$K17+Plano!$G17*MAX(0,ROUNDUP((AI$5-Plano!$K17)/Plano!$G17,0))&lt;=IF(DAY(AI$5)&gt;=29,EOMONTH(AI$5,0),AI$5+6),"●",""))</f>
        <v/>
      </c>
      <c r="AJ20" s="54" t="str">
        <f ca="1">IF(OR(NOT(ISNUMBER(AJ$5)),N(Plano!$G17)=0,N(Plano!$K17)=0),"",IF(Plano!$K17+Plano!$G17*MAX(0,ROUNDUP((AJ$5-Plano!$K17)/Plano!$G17,0))&lt;=IF(DAY(AJ$5)&gt;=29,EOMONTH(AJ$5,0),AJ$5+6),"●",""))</f>
        <v/>
      </c>
      <c r="AK20" s="53" t="str">
        <f ca="1">IF(OR(NOT(ISNUMBER(AK$5)),N(Plano!$G17)=0,N(Plano!$K17)=0),"",IF(Plano!$K17+Plano!$G17*MAX(0,ROUNDUP((AK$5-Plano!$K17)/Plano!$G17,0))&lt;=IF(DAY(AK$5)&gt;=29,EOMONTH(AK$5,0),AK$5+6),"●",""))</f>
        <v/>
      </c>
      <c r="AL20" s="53" t="str">
        <f ca="1">IF(OR(NOT(ISNUMBER(AL$5)),N(Plano!$G17)=0,N(Plano!$K17)=0),"",IF(Plano!$K17+Plano!$G17*MAX(0,ROUNDUP((AL$5-Plano!$K17)/Plano!$G17,0))&lt;=IF(DAY(AL$5)&gt;=29,EOMONTH(AL$5,0),AL$5+6),"●",""))</f>
        <v/>
      </c>
      <c r="AM20" s="53" t="str">
        <f ca="1">IF(OR(NOT(ISNUMBER(AM$5)),N(Plano!$G17)=0,N(Plano!$K17)=0),"",IF(Plano!$K17+Plano!$G17*MAX(0,ROUNDUP((AM$5-Plano!$K17)/Plano!$G17,0))&lt;=IF(DAY(AM$5)&gt;=29,EOMONTH(AM$5,0),AM$5+6),"●",""))</f>
        <v/>
      </c>
      <c r="AN20" s="53" t="str">
        <f ca="1">IF(OR(NOT(ISNUMBER(AN$5)),N(Plano!$G17)=0,N(Plano!$K17)=0),"",IF(Plano!$K17+Plano!$G17*MAX(0,ROUNDUP((AN$5-Plano!$K17)/Plano!$G17,0))&lt;=IF(DAY(AN$5)&gt;=29,EOMONTH(AN$5,0),AN$5+6),"●",""))</f>
        <v/>
      </c>
      <c r="AO20" s="54" t="str">
        <f ca="1">IF(OR(NOT(ISNUMBER(AO$5)),N(Plano!$G17)=0,N(Plano!$K17)=0),"",IF(Plano!$K17+Plano!$G17*MAX(0,ROUNDUP((AO$5-Plano!$K17)/Plano!$G17,0))&lt;=IF(DAY(AO$5)&gt;=29,EOMONTH(AO$5,0),AO$5+6),"●",""))</f>
        <v/>
      </c>
      <c r="AP20" s="53" t="str">
        <f ca="1">IF(OR(NOT(ISNUMBER(AP$5)),N(Plano!$G17)=0,N(Plano!$K17)=0),"",IF(Plano!$K17+Plano!$G17*MAX(0,ROUNDUP((AP$5-Plano!$K17)/Plano!$G17,0))&lt;=IF(DAY(AP$5)&gt;=29,EOMONTH(AP$5,0),AP$5+6),"●",""))</f>
        <v/>
      </c>
      <c r="AQ20" s="53" t="str">
        <f ca="1">IF(OR(NOT(ISNUMBER(AQ$5)),N(Plano!$G17)=0,N(Plano!$K17)=0),"",IF(Plano!$K17+Plano!$G17*MAX(0,ROUNDUP((AQ$5-Plano!$K17)/Plano!$G17,0))&lt;=IF(DAY(AQ$5)&gt;=29,EOMONTH(AQ$5,0),AQ$5+6),"●",""))</f>
        <v/>
      </c>
      <c r="AR20" s="53" t="str">
        <f ca="1">IF(OR(NOT(ISNUMBER(AR$5)),N(Plano!$G17)=0,N(Plano!$K17)=0),"",IF(Plano!$K17+Plano!$G17*MAX(0,ROUNDUP((AR$5-Plano!$K17)/Plano!$G17,0))&lt;=IF(DAY(AR$5)&gt;=29,EOMONTH(AR$5,0),AR$5+6),"●",""))</f>
        <v/>
      </c>
      <c r="AS20" s="53" t="str">
        <f ca="1">IF(OR(NOT(ISNUMBER(AS$5)),N(Plano!$G17)=0,N(Plano!$K17)=0),"",IF(Plano!$K17+Plano!$G17*MAX(0,ROUNDUP((AS$5-Plano!$K17)/Plano!$G17,0))&lt;=IF(DAY(AS$5)&gt;=29,EOMONTH(AS$5,0),AS$5+6),"●",""))</f>
        <v/>
      </c>
      <c r="AT20" s="54" t="str">
        <f ca="1">IF(OR(NOT(ISNUMBER(AT$5)),N(Plano!$G17)=0,N(Plano!$K17)=0),"",IF(Plano!$K17+Plano!$G17*MAX(0,ROUNDUP((AT$5-Plano!$K17)/Plano!$G17,0))&lt;=IF(DAY(AT$5)&gt;=29,EOMONTH(AT$5,0),AT$5+6),"●",""))</f>
        <v/>
      </c>
      <c r="AU20" s="53" t="str">
        <f ca="1">IF(OR(NOT(ISNUMBER(AU$5)),N(Plano!$G17)=0,N(Plano!$K17)=0),"",IF(Plano!$K17+Plano!$G17*MAX(0,ROUNDUP((AU$5-Plano!$K17)/Plano!$G17,0))&lt;=IF(DAY(AU$5)&gt;=29,EOMONTH(AU$5,0),AU$5+6),"●",""))</f>
        <v/>
      </c>
      <c r="AV20" s="53" t="str">
        <f ca="1">IF(OR(NOT(ISNUMBER(AV$5)),N(Plano!$G17)=0,N(Plano!$K17)=0),"",IF(Plano!$K17+Plano!$G17*MAX(0,ROUNDUP((AV$5-Plano!$K17)/Plano!$G17,0))&lt;=IF(DAY(AV$5)&gt;=29,EOMONTH(AV$5,0),AV$5+6),"●",""))</f>
        <v/>
      </c>
      <c r="AW20" s="53" t="str">
        <f ca="1">IF(OR(NOT(ISNUMBER(AW$5)),N(Plano!$G17)=0,N(Plano!$K17)=0),"",IF(Plano!$K17+Plano!$G17*MAX(0,ROUNDUP((AW$5-Plano!$K17)/Plano!$G17,0))&lt;=IF(DAY(AW$5)&gt;=29,EOMONTH(AW$5,0),AW$5+6),"●",""))</f>
        <v/>
      </c>
      <c r="AX20" s="53" t="str">
        <f ca="1">IF(OR(NOT(ISNUMBER(AX$5)),N(Plano!$G17)=0,N(Plano!$K17)=0),"",IF(Plano!$K17+Plano!$G17*MAX(0,ROUNDUP((AX$5-Plano!$K17)/Plano!$G17,0))&lt;=IF(DAY(AX$5)&gt;=29,EOMONTH(AX$5,0),AX$5+6),"●",""))</f>
        <v/>
      </c>
      <c r="AY20" s="54" t="str">
        <f ca="1">IF(OR(NOT(ISNUMBER(AY$5)),N(Plano!$G17)=0,N(Plano!$K17)=0),"",IF(Plano!$K17+Plano!$G17*MAX(0,ROUNDUP((AY$5-Plano!$K17)/Plano!$G17,0))&lt;=IF(DAY(AY$5)&gt;=29,EOMONTH(AY$5,0),AY$5+6),"●",""))</f>
        <v/>
      </c>
      <c r="AZ20" s="53" t="str">
        <f ca="1">IF(OR(NOT(ISNUMBER(AZ$5)),N(Plano!$G17)=0,N(Plano!$K17)=0),"",IF(Plano!$K17+Plano!$G17*MAX(0,ROUNDUP((AZ$5-Plano!$K17)/Plano!$G17,0))&lt;=IF(DAY(AZ$5)&gt;=29,EOMONTH(AZ$5,0),AZ$5+6),"●",""))</f>
        <v/>
      </c>
      <c r="BA20" s="53" t="str">
        <f ca="1">IF(OR(NOT(ISNUMBER(BA$5)),N(Plano!$G17)=0,N(Plano!$K17)=0),"",IF(Plano!$K17+Plano!$G17*MAX(0,ROUNDUP((BA$5-Plano!$K17)/Plano!$G17,0))&lt;=IF(DAY(BA$5)&gt;=29,EOMONTH(BA$5,0),BA$5+6),"●",""))</f>
        <v/>
      </c>
      <c r="BB20" s="53" t="str">
        <f ca="1">IF(OR(NOT(ISNUMBER(BB$5)),N(Plano!$G17)=0,N(Plano!$K17)=0),"",IF(Plano!$K17+Plano!$G17*MAX(0,ROUNDUP((BB$5-Plano!$K17)/Plano!$G17,0))&lt;=IF(DAY(BB$5)&gt;=29,EOMONTH(BB$5,0),BB$5+6),"●",""))</f>
        <v/>
      </c>
      <c r="BC20" s="53" t="str">
        <f ca="1">IF(OR(NOT(ISNUMBER(BC$5)),N(Plano!$G17)=0,N(Plano!$K17)=0),"",IF(Plano!$K17+Plano!$G17*MAX(0,ROUNDUP((BC$5-Plano!$K17)/Plano!$G17,0))&lt;=IF(DAY(BC$5)&gt;=29,EOMONTH(BC$5,0),BC$5+6),"●",""))</f>
        <v/>
      </c>
      <c r="BD20" s="54" t="str">
        <f ca="1">IF(OR(NOT(ISNUMBER(BD$5)),N(Plano!$G17)=0,N(Plano!$K17)=0),"",IF(Plano!$K17+Plano!$G17*MAX(0,ROUNDUP((BD$5-Plano!$K17)/Plano!$G17,0))&lt;=IF(DAY(BD$5)&gt;=29,EOMONTH(BD$5,0),BD$5+6),"●",""))</f>
        <v/>
      </c>
      <c r="BE20" s="53" t="str">
        <f ca="1">IF(OR(NOT(ISNUMBER(BE$5)),N(Plano!$G17)=0,N(Plano!$K17)=0),"",IF(Plano!$K17+Plano!$G17*MAX(0,ROUNDUP((BE$5-Plano!$K17)/Plano!$G17,0))&lt;=IF(DAY(BE$5)&gt;=29,EOMONTH(BE$5,0),BE$5+6),"●",""))</f>
        <v/>
      </c>
      <c r="BF20" s="53" t="str">
        <f ca="1">IF(OR(NOT(ISNUMBER(BF$5)),N(Plano!$G17)=0,N(Plano!$K17)=0),"",IF(Plano!$K17+Plano!$G17*MAX(0,ROUNDUP((BF$5-Plano!$K17)/Plano!$G17,0))&lt;=IF(DAY(BF$5)&gt;=29,EOMONTH(BF$5,0),BF$5+6),"●",""))</f>
        <v/>
      </c>
      <c r="BG20" s="53" t="str">
        <f ca="1">IF(OR(NOT(ISNUMBER(BG$5)),N(Plano!$G17)=0,N(Plano!$K17)=0),"",IF(Plano!$K17+Plano!$G17*MAX(0,ROUNDUP((BG$5-Plano!$K17)/Plano!$G17,0))&lt;=IF(DAY(BG$5)&gt;=29,EOMONTH(BG$5,0),BG$5+6),"●",""))</f>
        <v/>
      </c>
      <c r="BH20" s="53" t="str">
        <f ca="1">IF(OR(NOT(ISNUMBER(BH$5)),N(Plano!$G17)=0,N(Plano!$K17)=0),"",IF(Plano!$K17+Plano!$G17*MAX(0,ROUNDUP((BH$5-Plano!$K17)/Plano!$G17,0))&lt;=IF(DAY(BH$5)&gt;=29,EOMONTH(BH$5,0),BH$5+6),"●",""))</f>
        <v/>
      </c>
      <c r="BI20" s="54" t="str">
        <f ca="1">IF(OR(NOT(ISNUMBER(BI$5)),N(Plano!$G17)=0,N(Plano!$K17)=0),"",IF(Plano!$K17+Plano!$G17*MAX(0,ROUNDUP((BI$5-Plano!$K17)/Plano!$G17,0))&lt;=IF(DAY(BI$5)&gt;=29,EOMONTH(BI$5,0),BI$5+6),"●",""))</f>
        <v/>
      </c>
      <c r="BJ20" s="53" t="str">
        <f ca="1">IF(OR(NOT(ISNUMBER(BJ$5)),N(Plano!$G17)=0,N(Plano!$K17)=0),"",IF(Plano!$K17+Plano!$G17*MAX(0,ROUNDUP((BJ$5-Plano!$K17)/Plano!$G17,0))&lt;=IF(DAY(BJ$5)&gt;=29,EOMONTH(BJ$5,0),BJ$5+6),"●",""))</f>
        <v/>
      </c>
      <c r="BK20" s="53" t="str">
        <f ca="1">IF(OR(NOT(ISNUMBER(BK$5)),N(Plano!$G17)=0,N(Plano!$K17)=0),"",IF(Plano!$K17+Plano!$G17*MAX(0,ROUNDUP((BK$5-Plano!$K17)/Plano!$G17,0))&lt;=IF(DAY(BK$5)&gt;=29,EOMONTH(BK$5,0),BK$5+6),"●",""))</f>
        <v/>
      </c>
      <c r="BL20" s="53" t="str">
        <f ca="1">IF(OR(NOT(ISNUMBER(BL$5)),N(Plano!$G17)=0,N(Plano!$K17)=0),"",IF(Plano!$K17+Plano!$G17*MAX(0,ROUNDUP((BL$5-Plano!$K17)/Plano!$G17,0))&lt;=IF(DAY(BL$5)&gt;=29,EOMONTH(BL$5,0),BL$5+6),"●",""))</f>
        <v/>
      </c>
      <c r="BM20" s="55" t="str">
        <f ca="1">IF(OR(NOT(ISNUMBER(BM$5)),N(Plano!$G17)=0,N(Plano!$K17)=0),"",IF(Plano!$K17+Plano!$G17*MAX(0,ROUNDUP((BM$5-Plano!$K17)/Plano!$G17,0))&lt;=IF(DAY(BM$5)&gt;=29,EOMONTH(BM$5,0),BM$5+6),"●",""))</f>
        <v/>
      </c>
    </row>
    <row r="21" spans="1:65" ht="18" customHeight="1">
      <c r="A21" s="40">
        <f>Plano!A18</f>
        <v>14</v>
      </c>
      <c r="B21" s="51" t="str">
        <f>IF(Plano!B18="","",Plano!B18)</f>
        <v/>
      </c>
      <c r="C21" s="20" t="str">
        <f>IF(B21="","",IFERROR(INDEX(tb_pcm_ativos[descricao_ativo],MATCH(B21,tb_pcm_ativos[tag],0)),"fora do cadastro"))</f>
        <v/>
      </c>
      <c r="D21" s="20" t="str">
        <f>IF(Plano!E18="","",Plano!E18)</f>
        <v/>
      </c>
      <c r="E21" s="52" t="str">
        <f>IF(Plano!G18="","",Plano!G18)</f>
        <v/>
      </c>
      <c r="F21" s="53" t="str">
        <f ca="1">IF(OR(NOT(ISNUMBER(F$5)),N(Plano!$G18)=0,N(Plano!$K18)=0),"",IF(Plano!$K18+Plano!$G18*MAX(0,ROUNDUP((F$5-Plano!$K18)/Plano!$G18,0))&lt;=IF(DAY(F$5)&gt;=29,EOMONTH(F$5,0),F$5+6),"●",""))</f>
        <v/>
      </c>
      <c r="G21" s="53" t="str">
        <f ca="1">IF(OR(NOT(ISNUMBER(G$5)),N(Plano!$G18)=0,N(Plano!$K18)=0),"",IF(Plano!$K18+Plano!$G18*MAX(0,ROUNDUP((G$5-Plano!$K18)/Plano!$G18,0))&lt;=IF(DAY(G$5)&gt;=29,EOMONTH(G$5,0),G$5+6),"●",""))</f>
        <v/>
      </c>
      <c r="H21" s="53" t="str">
        <f ca="1">IF(OR(NOT(ISNUMBER(H$5)),N(Plano!$G18)=0,N(Plano!$K18)=0),"",IF(Plano!$K18+Plano!$G18*MAX(0,ROUNDUP((H$5-Plano!$K18)/Plano!$G18,0))&lt;=IF(DAY(H$5)&gt;=29,EOMONTH(H$5,0),H$5+6),"●",""))</f>
        <v/>
      </c>
      <c r="I21" s="53" t="str">
        <f ca="1">IF(OR(NOT(ISNUMBER(I$5)),N(Plano!$G18)=0,N(Plano!$K18)=0),"",IF(Plano!$K18+Plano!$G18*MAX(0,ROUNDUP((I$5-Plano!$K18)/Plano!$G18,0))&lt;=IF(DAY(I$5)&gt;=29,EOMONTH(I$5,0),I$5+6),"●",""))</f>
        <v/>
      </c>
      <c r="J21" s="53" t="str">
        <f ca="1">IF(OR(NOT(ISNUMBER(J$5)),N(Plano!$G18)=0,N(Plano!$K18)=0),"",IF(Plano!$K18+Plano!$G18*MAX(0,ROUNDUP((J$5-Plano!$K18)/Plano!$G18,0))&lt;=IF(DAY(J$5)&gt;=29,EOMONTH(J$5,0),J$5+6),"●",""))</f>
        <v/>
      </c>
      <c r="K21" s="54" t="str">
        <f ca="1">IF(OR(NOT(ISNUMBER(K$5)),N(Plano!$G18)=0,N(Plano!$K18)=0),"",IF(Plano!$K18+Plano!$G18*MAX(0,ROUNDUP((K$5-Plano!$K18)/Plano!$G18,0))&lt;=IF(DAY(K$5)&gt;=29,EOMONTH(K$5,0),K$5+6),"●",""))</f>
        <v/>
      </c>
      <c r="L21" s="53" t="str">
        <f ca="1">IF(OR(NOT(ISNUMBER(L$5)),N(Plano!$G18)=0,N(Plano!$K18)=0),"",IF(Plano!$K18+Plano!$G18*MAX(0,ROUNDUP((L$5-Plano!$K18)/Plano!$G18,0))&lt;=IF(DAY(L$5)&gt;=29,EOMONTH(L$5,0),L$5+6),"●",""))</f>
        <v/>
      </c>
      <c r="M21" s="53" t="str">
        <f ca="1">IF(OR(NOT(ISNUMBER(M$5)),N(Plano!$G18)=0,N(Plano!$K18)=0),"",IF(Plano!$K18+Plano!$G18*MAX(0,ROUNDUP((M$5-Plano!$K18)/Plano!$G18,0))&lt;=IF(DAY(M$5)&gt;=29,EOMONTH(M$5,0),M$5+6),"●",""))</f>
        <v/>
      </c>
      <c r="N21" s="53" t="str">
        <f ca="1">IF(OR(NOT(ISNUMBER(N$5)),N(Plano!$G18)=0,N(Plano!$K18)=0),"",IF(Plano!$K18+Plano!$G18*MAX(0,ROUNDUP((N$5-Plano!$K18)/Plano!$G18,0))&lt;=IF(DAY(N$5)&gt;=29,EOMONTH(N$5,0),N$5+6),"●",""))</f>
        <v/>
      </c>
      <c r="O21" s="53" t="str">
        <f ca="1">IF(OR(NOT(ISNUMBER(O$5)),N(Plano!$G18)=0,N(Plano!$K18)=0),"",IF(Plano!$K18+Plano!$G18*MAX(0,ROUNDUP((O$5-Plano!$K18)/Plano!$G18,0))&lt;=IF(DAY(O$5)&gt;=29,EOMONTH(O$5,0),O$5+6),"●",""))</f>
        <v/>
      </c>
      <c r="P21" s="54" t="str">
        <f ca="1">IF(OR(NOT(ISNUMBER(P$5)),N(Plano!$G18)=0,N(Plano!$K18)=0),"",IF(Plano!$K18+Plano!$G18*MAX(0,ROUNDUP((P$5-Plano!$K18)/Plano!$G18,0))&lt;=IF(DAY(P$5)&gt;=29,EOMONTH(P$5,0),P$5+6),"●",""))</f>
        <v/>
      </c>
      <c r="Q21" s="53" t="str">
        <f ca="1">IF(OR(NOT(ISNUMBER(Q$5)),N(Plano!$G18)=0,N(Plano!$K18)=0),"",IF(Plano!$K18+Plano!$G18*MAX(0,ROUNDUP((Q$5-Plano!$K18)/Plano!$G18,0))&lt;=IF(DAY(Q$5)&gt;=29,EOMONTH(Q$5,0),Q$5+6),"●",""))</f>
        <v/>
      </c>
      <c r="R21" s="53" t="str">
        <f ca="1">IF(OR(NOT(ISNUMBER(R$5)),N(Plano!$G18)=0,N(Plano!$K18)=0),"",IF(Plano!$K18+Plano!$G18*MAX(0,ROUNDUP((R$5-Plano!$K18)/Plano!$G18,0))&lt;=IF(DAY(R$5)&gt;=29,EOMONTH(R$5,0),R$5+6),"●",""))</f>
        <v/>
      </c>
      <c r="S21" s="53" t="str">
        <f ca="1">IF(OR(NOT(ISNUMBER(S$5)),N(Plano!$G18)=0,N(Plano!$K18)=0),"",IF(Plano!$K18+Plano!$G18*MAX(0,ROUNDUP((S$5-Plano!$K18)/Plano!$G18,0))&lt;=IF(DAY(S$5)&gt;=29,EOMONTH(S$5,0),S$5+6),"●",""))</f>
        <v/>
      </c>
      <c r="T21" s="53" t="str">
        <f ca="1">IF(OR(NOT(ISNUMBER(T$5)),N(Plano!$G18)=0,N(Plano!$K18)=0),"",IF(Plano!$K18+Plano!$G18*MAX(0,ROUNDUP((T$5-Plano!$K18)/Plano!$G18,0))&lt;=IF(DAY(T$5)&gt;=29,EOMONTH(T$5,0),T$5+6),"●",""))</f>
        <v/>
      </c>
      <c r="U21" s="54" t="str">
        <f ca="1">IF(OR(NOT(ISNUMBER(U$5)),N(Plano!$G18)=0,N(Plano!$K18)=0),"",IF(Plano!$K18+Plano!$G18*MAX(0,ROUNDUP((U$5-Plano!$K18)/Plano!$G18,0))&lt;=IF(DAY(U$5)&gt;=29,EOMONTH(U$5,0),U$5+6),"●",""))</f>
        <v/>
      </c>
      <c r="V21" s="53" t="str">
        <f ca="1">IF(OR(NOT(ISNUMBER(V$5)),N(Plano!$G18)=0,N(Plano!$K18)=0),"",IF(Plano!$K18+Plano!$G18*MAX(0,ROUNDUP((V$5-Plano!$K18)/Plano!$G18,0))&lt;=IF(DAY(V$5)&gt;=29,EOMONTH(V$5,0),V$5+6),"●",""))</f>
        <v/>
      </c>
      <c r="W21" s="53" t="str">
        <f ca="1">IF(OR(NOT(ISNUMBER(W$5)),N(Plano!$G18)=0,N(Plano!$K18)=0),"",IF(Plano!$K18+Plano!$G18*MAX(0,ROUNDUP((W$5-Plano!$K18)/Plano!$G18,0))&lt;=IF(DAY(W$5)&gt;=29,EOMONTH(W$5,0),W$5+6),"●",""))</f>
        <v/>
      </c>
      <c r="X21" s="53" t="str">
        <f ca="1">IF(OR(NOT(ISNUMBER(X$5)),N(Plano!$G18)=0,N(Plano!$K18)=0),"",IF(Plano!$K18+Plano!$G18*MAX(0,ROUNDUP((X$5-Plano!$K18)/Plano!$G18,0))&lt;=IF(DAY(X$5)&gt;=29,EOMONTH(X$5,0),X$5+6),"●",""))</f>
        <v/>
      </c>
      <c r="Y21" s="53" t="str">
        <f ca="1">IF(OR(NOT(ISNUMBER(Y$5)),N(Plano!$G18)=0,N(Plano!$K18)=0),"",IF(Plano!$K18+Plano!$G18*MAX(0,ROUNDUP((Y$5-Plano!$K18)/Plano!$G18,0))&lt;=IF(DAY(Y$5)&gt;=29,EOMONTH(Y$5,0),Y$5+6),"●",""))</f>
        <v/>
      </c>
      <c r="Z21" s="54" t="str">
        <f ca="1">IF(OR(NOT(ISNUMBER(Z$5)),N(Plano!$G18)=0,N(Plano!$K18)=0),"",IF(Plano!$K18+Plano!$G18*MAX(0,ROUNDUP((Z$5-Plano!$K18)/Plano!$G18,0))&lt;=IF(DAY(Z$5)&gt;=29,EOMONTH(Z$5,0),Z$5+6),"●",""))</f>
        <v/>
      </c>
      <c r="AA21" s="53" t="str">
        <f ca="1">IF(OR(NOT(ISNUMBER(AA$5)),N(Plano!$G18)=0,N(Plano!$K18)=0),"",IF(Plano!$K18+Plano!$G18*MAX(0,ROUNDUP((AA$5-Plano!$K18)/Plano!$G18,0))&lt;=IF(DAY(AA$5)&gt;=29,EOMONTH(AA$5,0),AA$5+6),"●",""))</f>
        <v/>
      </c>
      <c r="AB21" s="53" t="str">
        <f ca="1">IF(OR(NOT(ISNUMBER(AB$5)),N(Plano!$G18)=0,N(Plano!$K18)=0),"",IF(Plano!$K18+Plano!$G18*MAX(0,ROUNDUP((AB$5-Plano!$K18)/Plano!$G18,0))&lt;=IF(DAY(AB$5)&gt;=29,EOMONTH(AB$5,0),AB$5+6),"●",""))</f>
        <v/>
      </c>
      <c r="AC21" s="53" t="str">
        <f ca="1">IF(OR(NOT(ISNUMBER(AC$5)),N(Plano!$G18)=0,N(Plano!$K18)=0),"",IF(Plano!$K18+Plano!$G18*MAX(0,ROUNDUP((AC$5-Plano!$K18)/Plano!$G18,0))&lt;=IF(DAY(AC$5)&gt;=29,EOMONTH(AC$5,0),AC$5+6),"●",""))</f>
        <v/>
      </c>
      <c r="AD21" s="53" t="str">
        <f ca="1">IF(OR(NOT(ISNUMBER(AD$5)),N(Plano!$G18)=0,N(Plano!$K18)=0),"",IF(Plano!$K18+Plano!$G18*MAX(0,ROUNDUP((AD$5-Plano!$K18)/Plano!$G18,0))&lt;=IF(DAY(AD$5)&gt;=29,EOMONTH(AD$5,0),AD$5+6),"●",""))</f>
        <v/>
      </c>
      <c r="AE21" s="54" t="str">
        <f ca="1">IF(OR(NOT(ISNUMBER(AE$5)),N(Plano!$G18)=0,N(Plano!$K18)=0),"",IF(Plano!$K18+Plano!$G18*MAX(0,ROUNDUP((AE$5-Plano!$K18)/Plano!$G18,0))&lt;=IF(DAY(AE$5)&gt;=29,EOMONTH(AE$5,0),AE$5+6),"●",""))</f>
        <v/>
      </c>
      <c r="AF21" s="53" t="str">
        <f ca="1">IF(OR(NOT(ISNUMBER(AF$5)),N(Plano!$G18)=0,N(Plano!$K18)=0),"",IF(Plano!$K18+Plano!$G18*MAX(0,ROUNDUP((AF$5-Plano!$K18)/Plano!$G18,0))&lt;=IF(DAY(AF$5)&gt;=29,EOMONTH(AF$5,0),AF$5+6),"●",""))</f>
        <v/>
      </c>
      <c r="AG21" s="53" t="str">
        <f ca="1">IF(OR(NOT(ISNUMBER(AG$5)),N(Plano!$G18)=0,N(Plano!$K18)=0),"",IF(Plano!$K18+Plano!$G18*MAX(0,ROUNDUP((AG$5-Plano!$K18)/Plano!$G18,0))&lt;=IF(DAY(AG$5)&gt;=29,EOMONTH(AG$5,0),AG$5+6),"●",""))</f>
        <v/>
      </c>
      <c r="AH21" s="53" t="str">
        <f ca="1">IF(OR(NOT(ISNUMBER(AH$5)),N(Plano!$G18)=0,N(Plano!$K18)=0),"",IF(Plano!$K18+Plano!$G18*MAX(0,ROUNDUP((AH$5-Plano!$K18)/Plano!$G18,0))&lt;=IF(DAY(AH$5)&gt;=29,EOMONTH(AH$5,0),AH$5+6),"●",""))</f>
        <v/>
      </c>
      <c r="AI21" s="53" t="str">
        <f ca="1">IF(OR(NOT(ISNUMBER(AI$5)),N(Plano!$G18)=0,N(Plano!$K18)=0),"",IF(Plano!$K18+Plano!$G18*MAX(0,ROUNDUP((AI$5-Plano!$K18)/Plano!$G18,0))&lt;=IF(DAY(AI$5)&gt;=29,EOMONTH(AI$5,0),AI$5+6),"●",""))</f>
        <v/>
      </c>
      <c r="AJ21" s="54" t="str">
        <f ca="1">IF(OR(NOT(ISNUMBER(AJ$5)),N(Plano!$G18)=0,N(Plano!$K18)=0),"",IF(Plano!$K18+Plano!$G18*MAX(0,ROUNDUP((AJ$5-Plano!$K18)/Plano!$G18,0))&lt;=IF(DAY(AJ$5)&gt;=29,EOMONTH(AJ$5,0),AJ$5+6),"●",""))</f>
        <v/>
      </c>
      <c r="AK21" s="53" t="str">
        <f ca="1">IF(OR(NOT(ISNUMBER(AK$5)),N(Plano!$G18)=0,N(Plano!$K18)=0),"",IF(Plano!$K18+Plano!$G18*MAX(0,ROUNDUP((AK$5-Plano!$K18)/Plano!$G18,0))&lt;=IF(DAY(AK$5)&gt;=29,EOMONTH(AK$5,0),AK$5+6),"●",""))</f>
        <v/>
      </c>
      <c r="AL21" s="53" t="str">
        <f ca="1">IF(OR(NOT(ISNUMBER(AL$5)),N(Plano!$G18)=0,N(Plano!$K18)=0),"",IF(Plano!$K18+Plano!$G18*MAX(0,ROUNDUP((AL$5-Plano!$K18)/Plano!$G18,0))&lt;=IF(DAY(AL$5)&gt;=29,EOMONTH(AL$5,0),AL$5+6),"●",""))</f>
        <v/>
      </c>
      <c r="AM21" s="53" t="str">
        <f ca="1">IF(OR(NOT(ISNUMBER(AM$5)),N(Plano!$G18)=0,N(Plano!$K18)=0),"",IF(Plano!$K18+Plano!$G18*MAX(0,ROUNDUP((AM$5-Plano!$K18)/Plano!$G18,0))&lt;=IF(DAY(AM$5)&gt;=29,EOMONTH(AM$5,0),AM$5+6),"●",""))</f>
        <v/>
      </c>
      <c r="AN21" s="53" t="str">
        <f ca="1">IF(OR(NOT(ISNUMBER(AN$5)),N(Plano!$G18)=0,N(Plano!$K18)=0),"",IF(Plano!$K18+Plano!$G18*MAX(0,ROUNDUP((AN$5-Plano!$K18)/Plano!$G18,0))&lt;=IF(DAY(AN$5)&gt;=29,EOMONTH(AN$5,0),AN$5+6),"●",""))</f>
        <v/>
      </c>
      <c r="AO21" s="54" t="str">
        <f ca="1">IF(OR(NOT(ISNUMBER(AO$5)),N(Plano!$G18)=0,N(Plano!$K18)=0),"",IF(Plano!$K18+Plano!$G18*MAX(0,ROUNDUP((AO$5-Plano!$K18)/Plano!$G18,0))&lt;=IF(DAY(AO$5)&gt;=29,EOMONTH(AO$5,0),AO$5+6),"●",""))</f>
        <v/>
      </c>
      <c r="AP21" s="53" t="str">
        <f ca="1">IF(OR(NOT(ISNUMBER(AP$5)),N(Plano!$G18)=0,N(Plano!$K18)=0),"",IF(Plano!$K18+Plano!$G18*MAX(0,ROUNDUP((AP$5-Plano!$K18)/Plano!$G18,0))&lt;=IF(DAY(AP$5)&gt;=29,EOMONTH(AP$5,0),AP$5+6),"●",""))</f>
        <v/>
      </c>
      <c r="AQ21" s="53" t="str">
        <f ca="1">IF(OR(NOT(ISNUMBER(AQ$5)),N(Plano!$G18)=0,N(Plano!$K18)=0),"",IF(Plano!$K18+Plano!$G18*MAX(0,ROUNDUP((AQ$5-Plano!$K18)/Plano!$G18,0))&lt;=IF(DAY(AQ$5)&gt;=29,EOMONTH(AQ$5,0),AQ$5+6),"●",""))</f>
        <v/>
      </c>
      <c r="AR21" s="53" t="str">
        <f ca="1">IF(OR(NOT(ISNUMBER(AR$5)),N(Plano!$G18)=0,N(Plano!$K18)=0),"",IF(Plano!$K18+Plano!$G18*MAX(0,ROUNDUP((AR$5-Plano!$K18)/Plano!$G18,0))&lt;=IF(DAY(AR$5)&gt;=29,EOMONTH(AR$5,0),AR$5+6),"●",""))</f>
        <v/>
      </c>
      <c r="AS21" s="53" t="str">
        <f ca="1">IF(OR(NOT(ISNUMBER(AS$5)),N(Plano!$G18)=0,N(Plano!$K18)=0),"",IF(Plano!$K18+Plano!$G18*MAX(0,ROUNDUP((AS$5-Plano!$K18)/Plano!$G18,0))&lt;=IF(DAY(AS$5)&gt;=29,EOMONTH(AS$5,0),AS$5+6),"●",""))</f>
        <v/>
      </c>
      <c r="AT21" s="54" t="str">
        <f ca="1">IF(OR(NOT(ISNUMBER(AT$5)),N(Plano!$G18)=0,N(Plano!$K18)=0),"",IF(Plano!$K18+Plano!$G18*MAX(0,ROUNDUP((AT$5-Plano!$K18)/Plano!$G18,0))&lt;=IF(DAY(AT$5)&gt;=29,EOMONTH(AT$5,0),AT$5+6),"●",""))</f>
        <v/>
      </c>
      <c r="AU21" s="53" t="str">
        <f ca="1">IF(OR(NOT(ISNUMBER(AU$5)),N(Plano!$G18)=0,N(Plano!$K18)=0),"",IF(Plano!$K18+Plano!$G18*MAX(0,ROUNDUP((AU$5-Plano!$K18)/Plano!$G18,0))&lt;=IF(DAY(AU$5)&gt;=29,EOMONTH(AU$5,0),AU$5+6),"●",""))</f>
        <v/>
      </c>
      <c r="AV21" s="53" t="str">
        <f ca="1">IF(OR(NOT(ISNUMBER(AV$5)),N(Plano!$G18)=0,N(Plano!$K18)=0),"",IF(Plano!$K18+Plano!$G18*MAX(0,ROUNDUP((AV$5-Plano!$K18)/Plano!$G18,0))&lt;=IF(DAY(AV$5)&gt;=29,EOMONTH(AV$5,0),AV$5+6),"●",""))</f>
        <v/>
      </c>
      <c r="AW21" s="53" t="str">
        <f ca="1">IF(OR(NOT(ISNUMBER(AW$5)),N(Plano!$G18)=0,N(Plano!$K18)=0),"",IF(Plano!$K18+Plano!$G18*MAX(0,ROUNDUP((AW$5-Plano!$K18)/Plano!$G18,0))&lt;=IF(DAY(AW$5)&gt;=29,EOMONTH(AW$5,0),AW$5+6),"●",""))</f>
        <v/>
      </c>
      <c r="AX21" s="53" t="str">
        <f ca="1">IF(OR(NOT(ISNUMBER(AX$5)),N(Plano!$G18)=0,N(Plano!$K18)=0),"",IF(Plano!$K18+Plano!$G18*MAX(0,ROUNDUP((AX$5-Plano!$K18)/Plano!$G18,0))&lt;=IF(DAY(AX$5)&gt;=29,EOMONTH(AX$5,0),AX$5+6),"●",""))</f>
        <v/>
      </c>
      <c r="AY21" s="54" t="str">
        <f ca="1">IF(OR(NOT(ISNUMBER(AY$5)),N(Plano!$G18)=0,N(Plano!$K18)=0),"",IF(Plano!$K18+Plano!$G18*MAX(0,ROUNDUP((AY$5-Plano!$K18)/Plano!$G18,0))&lt;=IF(DAY(AY$5)&gt;=29,EOMONTH(AY$5,0),AY$5+6),"●",""))</f>
        <v/>
      </c>
      <c r="AZ21" s="53" t="str">
        <f ca="1">IF(OR(NOT(ISNUMBER(AZ$5)),N(Plano!$G18)=0,N(Plano!$K18)=0),"",IF(Plano!$K18+Plano!$G18*MAX(0,ROUNDUP((AZ$5-Plano!$K18)/Plano!$G18,0))&lt;=IF(DAY(AZ$5)&gt;=29,EOMONTH(AZ$5,0),AZ$5+6),"●",""))</f>
        <v/>
      </c>
      <c r="BA21" s="53" t="str">
        <f ca="1">IF(OR(NOT(ISNUMBER(BA$5)),N(Plano!$G18)=0,N(Plano!$K18)=0),"",IF(Plano!$K18+Plano!$G18*MAX(0,ROUNDUP((BA$5-Plano!$K18)/Plano!$G18,0))&lt;=IF(DAY(BA$5)&gt;=29,EOMONTH(BA$5,0),BA$5+6),"●",""))</f>
        <v/>
      </c>
      <c r="BB21" s="53" t="str">
        <f ca="1">IF(OR(NOT(ISNUMBER(BB$5)),N(Plano!$G18)=0,N(Plano!$K18)=0),"",IF(Plano!$K18+Plano!$G18*MAX(0,ROUNDUP((BB$5-Plano!$K18)/Plano!$G18,0))&lt;=IF(DAY(BB$5)&gt;=29,EOMONTH(BB$5,0),BB$5+6),"●",""))</f>
        <v/>
      </c>
      <c r="BC21" s="53" t="str">
        <f ca="1">IF(OR(NOT(ISNUMBER(BC$5)),N(Plano!$G18)=0,N(Plano!$K18)=0),"",IF(Plano!$K18+Plano!$G18*MAX(0,ROUNDUP((BC$5-Plano!$K18)/Plano!$G18,0))&lt;=IF(DAY(BC$5)&gt;=29,EOMONTH(BC$5,0),BC$5+6),"●",""))</f>
        <v/>
      </c>
      <c r="BD21" s="54" t="str">
        <f ca="1">IF(OR(NOT(ISNUMBER(BD$5)),N(Plano!$G18)=0,N(Plano!$K18)=0),"",IF(Plano!$K18+Plano!$G18*MAX(0,ROUNDUP((BD$5-Plano!$K18)/Plano!$G18,0))&lt;=IF(DAY(BD$5)&gt;=29,EOMONTH(BD$5,0),BD$5+6),"●",""))</f>
        <v/>
      </c>
      <c r="BE21" s="53" t="str">
        <f ca="1">IF(OR(NOT(ISNUMBER(BE$5)),N(Plano!$G18)=0,N(Plano!$K18)=0),"",IF(Plano!$K18+Plano!$G18*MAX(0,ROUNDUP((BE$5-Plano!$K18)/Plano!$G18,0))&lt;=IF(DAY(BE$5)&gt;=29,EOMONTH(BE$5,0),BE$5+6),"●",""))</f>
        <v/>
      </c>
      <c r="BF21" s="53" t="str">
        <f ca="1">IF(OR(NOT(ISNUMBER(BF$5)),N(Plano!$G18)=0,N(Plano!$K18)=0),"",IF(Plano!$K18+Plano!$G18*MAX(0,ROUNDUP((BF$5-Plano!$K18)/Plano!$G18,0))&lt;=IF(DAY(BF$5)&gt;=29,EOMONTH(BF$5,0),BF$5+6),"●",""))</f>
        <v/>
      </c>
      <c r="BG21" s="53" t="str">
        <f ca="1">IF(OR(NOT(ISNUMBER(BG$5)),N(Plano!$G18)=0,N(Plano!$K18)=0),"",IF(Plano!$K18+Plano!$G18*MAX(0,ROUNDUP((BG$5-Plano!$K18)/Plano!$G18,0))&lt;=IF(DAY(BG$5)&gt;=29,EOMONTH(BG$5,0),BG$5+6),"●",""))</f>
        <v/>
      </c>
      <c r="BH21" s="53" t="str">
        <f ca="1">IF(OR(NOT(ISNUMBER(BH$5)),N(Plano!$G18)=0,N(Plano!$K18)=0),"",IF(Plano!$K18+Plano!$G18*MAX(0,ROUNDUP((BH$5-Plano!$K18)/Plano!$G18,0))&lt;=IF(DAY(BH$5)&gt;=29,EOMONTH(BH$5,0),BH$5+6),"●",""))</f>
        <v/>
      </c>
      <c r="BI21" s="54" t="str">
        <f ca="1">IF(OR(NOT(ISNUMBER(BI$5)),N(Plano!$G18)=0,N(Plano!$K18)=0),"",IF(Plano!$K18+Plano!$G18*MAX(0,ROUNDUP((BI$5-Plano!$K18)/Plano!$G18,0))&lt;=IF(DAY(BI$5)&gt;=29,EOMONTH(BI$5,0),BI$5+6),"●",""))</f>
        <v/>
      </c>
      <c r="BJ21" s="53" t="str">
        <f ca="1">IF(OR(NOT(ISNUMBER(BJ$5)),N(Plano!$G18)=0,N(Plano!$K18)=0),"",IF(Plano!$K18+Plano!$G18*MAX(0,ROUNDUP((BJ$5-Plano!$K18)/Plano!$G18,0))&lt;=IF(DAY(BJ$5)&gt;=29,EOMONTH(BJ$5,0),BJ$5+6),"●",""))</f>
        <v/>
      </c>
      <c r="BK21" s="53" t="str">
        <f ca="1">IF(OR(NOT(ISNUMBER(BK$5)),N(Plano!$G18)=0,N(Plano!$K18)=0),"",IF(Plano!$K18+Plano!$G18*MAX(0,ROUNDUP((BK$5-Plano!$K18)/Plano!$G18,0))&lt;=IF(DAY(BK$5)&gt;=29,EOMONTH(BK$5,0),BK$5+6),"●",""))</f>
        <v/>
      </c>
      <c r="BL21" s="53" t="str">
        <f ca="1">IF(OR(NOT(ISNUMBER(BL$5)),N(Plano!$G18)=0,N(Plano!$K18)=0),"",IF(Plano!$K18+Plano!$G18*MAX(0,ROUNDUP((BL$5-Plano!$K18)/Plano!$G18,0))&lt;=IF(DAY(BL$5)&gt;=29,EOMONTH(BL$5,0),BL$5+6),"●",""))</f>
        <v/>
      </c>
      <c r="BM21" s="55" t="str">
        <f ca="1">IF(OR(NOT(ISNUMBER(BM$5)),N(Plano!$G18)=0,N(Plano!$K18)=0),"",IF(Plano!$K18+Plano!$G18*MAX(0,ROUNDUP((BM$5-Plano!$K18)/Plano!$G18,0))&lt;=IF(DAY(BM$5)&gt;=29,EOMONTH(BM$5,0),BM$5+6),"●",""))</f>
        <v/>
      </c>
    </row>
    <row r="22" spans="1:65" ht="18" customHeight="1">
      <c r="A22" s="40">
        <f>Plano!A19</f>
        <v>15</v>
      </c>
      <c r="B22" s="51" t="str">
        <f>IF(Plano!B19="","",Plano!B19)</f>
        <v/>
      </c>
      <c r="C22" s="20" t="str">
        <f>IF(B22="","",IFERROR(INDEX(tb_pcm_ativos[descricao_ativo],MATCH(B22,tb_pcm_ativos[tag],0)),"fora do cadastro"))</f>
        <v/>
      </c>
      <c r="D22" s="20" t="str">
        <f>IF(Plano!E19="","",Plano!E19)</f>
        <v/>
      </c>
      <c r="E22" s="52" t="str">
        <f>IF(Plano!G19="","",Plano!G19)</f>
        <v/>
      </c>
      <c r="F22" s="53" t="str">
        <f ca="1">IF(OR(NOT(ISNUMBER(F$5)),N(Plano!$G19)=0,N(Plano!$K19)=0),"",IF(Plano!$K19+Plano!$G19*MAX(0,ROUNDUP((F$5-Plano!$K19)/Plano!$G19,0))&lt;=IF(DAY(F$5)&gt;=29,EOMONTH(F$5,0),F$5+6),"●",""))</f>
        <v/>
      </c>
      <c r="G22" s="53" t="str">
        <f ca="1">IF(OR(NOT(ISNUMBER(G$5)),N(Plano!$G19)=0,N(Plano!$K19)=0),"",IF(Plano!$K19+Plano!$G19*MAX(0,ROUNDUP((G$5-Plano!$K19)/Plano!$G19,0))&lt;=IF(DAY(G$5)&gt;=29,EOMONTH(G$5,0),G$5+6),"●",""))</f>
        <v/>
      </c>
      <c r="H22" s="53" t="str">
        <f ca="1">IF(OR(NOT(ISNUMBER(H$5)),N(Plano!$G19)=0,N(Plano!$K19)=0),"",IF(Plano!$K19+Plano!$G19*MAX(0,ROUNDUP((H$5-Plano!$K19)/Plano!$G19,0))&lt;=IF(DAY(H$5)&gt;=29,EOMONTH(H$5,0),H$5+6),"●",""))</f>
        <v/>
      </c>
      <c r="I22" s="53" t="str">
        <f ca="1">IF(OR(NOT(ISNUMBER(I$5)),N(Plano!$G19)=0,N(Plano!$K19)=0),"",IF(Plano!$K19+Plano!$G19*MAX(0,ROUNDUP((I$5-Plano!$K19)/Plano!$G19,0))&lt;=IF(DAY(I$5)&gt;=29,EOMONTH(I$5,0),I$5+6),"●",""))</f>
        <v/>
      </c>
      <c r="J22" s="53" t="str">
        <f ca="1">IF(OR(NOT(ISNUMBER(J$5)),N(Plano!$G19)=0,N(Plano!$K19)=0),"",IF(Plano!$K19+Plano!$G19*MAX(0,ROUNDUP((J$5-Plano!$K19)/Plano!$G19,0))&lt;=IF(DAY(J$5)&gt;=29,EOMONTH(J$5,0),J$5+6),"●",""))</f>
        <v/>
      </c>
      <c r="K22" s="54" t="str">
        <f ca="1">IF(OR(NOT(ISNUMBER(K$5)),N(Plano!$G19)=0,N(Plano!$K19)=0),"",IF(Plano!$K19+Plano!$G19*MAX(0,ROUNDUP((K$5-Plano!$K19)/Plano!$G19,0))&lt;=IF(DAY(K$5)&gt;=29,EOMONTH(K$5,0),K$5+6),"●",""))</f>
        <v/>
      </c>
      <c r="L22" s="53" t="str">
        <f ca="1">IF(OR(NOT(ISNUMBER(L$5)),N(Plano!$G19)=0,N(Plano!$K19)=0),"",IF(Plano!$K19+Plano!$G19*MAX(0,ROUNDUP((L$5-Plano!$K19)/Plano!$G19,0))&lt;=IF(DAY(L$5)&gt;=29,EOMONTH(L$5,0),L$5+6),"●",""))</f>
        <v/>
      </c>
      <c r="M22" s="53" t="str">
        <f ca="1">IF(OR(NOT(ISNUMBER(M$5)),N(Plano!$G19)=0,N(Plano!$K19)=0),"",IF(Plano!$K19+Plano!$G19*MAX(0,ROUNDUP((M$5-Plano!$K19)/Plano!$G19,0))&lt;=IF(DAY(M$5)&gt;=29,EOMONTH(M$5,0),M$5+6),"●",""))</f>
        <v/>
      </c>
      <c r="N22" s="53" t="str">
        <f ca="1">IF(OR(NOT(ISNUMBER(N$5)),N(Plano!$G19)=0,N(Plano!$K19)=0),"",IF(Plano!$K19+Plano!$G19*MAX(0,ROUNDUP((N$5-Plano!$K19)/Plano!$G19,0))&lt;=IF(DAY(N$5)&gt;=29,EOMONTH(N$5,0),N$5+6),"●",""))</f>
        <v/>
      </c>
      <c r="O22" s="53" t="str">
        <f ca="1">IF(OR(NOT(ISNUMBER(O$5)),N(Plano!$G19)=0,N(Plano!$K19)=0),"",IF(Plano!$K19+Plano!$G19*MAX(0,ROUNDUP((O$5-Plano!$K19)/Plano!$G19,0))&lt;=IF(DAY(O$5)&gt;=29,EOMONTH(O$5,0),O$5+6),"●",""))</f>
        <v/>
      </c>
      <c r="P22" s="54" t="str">
        <f ca="1">IF(OR(NOT(ISNUMBER(P$5)),N(Plano!$G19)=0,N(Plano!$K19)=0),"",IF(Plano!$K19+Plano!$G19*MAX(0,ROUNDUP((P$5-Plano!$K19)/Plano!$G19,0))&lt;=IF(DAY(P$5)&gt;=29,EOMONTH(P$5,0),P$5+6),"●",""))</f>
        <v/>
      </c>
      <c r="Q22" s="53" t="str">
        <f ca="1">IF(OR(NOT(ISNUMBER(Q$5)),N(Plano!$G19)=0,N(Plano!$K19)=0),"",IF(Plano!$K19+Plano!$G19*MAX(0,ROUNDUP((Q$5-Plano!$K19)/Plano!$G19,0))&lt;=IF(DAY(Q$5)&gt;=29,EOMONTH(Q$5,0),Q$5+6),"●",""))</f>
        <v/>
      </c>
      <c r="R22" s="53" t="str">
        <f ca="1">IF(OR(NOT(ISNUMBER(R$5)),N(Plano!$G19)=0,N(Plano!$K19)=0),"",IF(Plano!$K19+Plano!$G19*MAX(0,ROUNDUP((R$5-Plano!$K19)/Plano!$G19,0))&lt;=IF(DAY(R$5)&gt;=29,EOMONTH(R$5,0),R$5+6),"●",""))</f>
        <v/>
      </c>
      <c r="S22" s="53" t="str">
        <f ca="1">IF(OR(NOT(ISNUMBER(S$5)),N(Plano!$G19)=0,N(Plano!$K19)=0),"",IF(Plano!$K19+Plano!$G19*MAX(0,ROUNDUP((S$5-Plano!$K19)/Plano!$G19,0))&lt;=IF(DAY(S$5)&gt;=29,EOMONTH(S$5,0),S$5+6),"●",""))</f>
        <v/>
      </c>
      <c r="T22" s="53" t="str">
        <f ca="1">IF(OR(NOT(ISNUMBER(T$5)),N(Plano!$G19)=0,N(Plano!$K19)=0),"",IF(Plano!$K19+Plano!$G19*MAX(0,ROUNDUP((T$5-Plano!$K19)/Plano!$G19,0))&lt;=IF(DAY(T$5)&gt;=29,EOMONTH(T$5,0),T$5+6),"●",""))</f>
        <v/>
      </c>
      <c r="U22" s="54" t="str">
        <f ca="1">IF(OR(NOT(ISNUMBER(U$5)),N(Plano!$G19)=0,N(Plano!$K19)=0),"",IF(Plano!$K19+Plano!$G19*MAX(0,ROUNDUP((U$5-Plano!$K19)/Plano!$G19,0))&lt;=IF(DAY(U$5)&gt;=29,EOMONTH(U$5,0),U$5+6),"●",""))</f>
        <v/>
      </c>
      <c r="V22" s="53" t="str">
        <f ca="1">IF(OR(NOT(ISNUMBER(V$5)),N(Plano!$G19)=0,N(Plano!$K19)=0),"",IF(Plano!$K19+Plano!$G19*MAX(0,ROUNDUP((V$5-Plano!$K19)/Plano!$G19,0))&lt;=IF(DAY(V$5)&gt;=29,EOMONTH(V$5,0),V$5+6),"●",""))</f>
        <v/>
      </c>
      <c r="W22" s="53" t="str">
        <f ca="1">IF(OR(NOT(ISNUMBER(W$5)),N(Plano!$G19)=0,N(Plano!$K19)=0),"",IF(Plano!$K19+Plano!$G19*MAX(0,ROUNDUP((W$5-Plano!$K19)/Plano!$G19,0))&lt;=IF(DAY(W$5)&gt;=29,EOMONTH(W$5,0),W$5+6),"●",""))</f>
        <v/>
      </c>
      <c r="X22" s="53" t="str">
        <f ca="1">IF(OR(NOT(ISNUMBER(X$5)),N(Plano!$G19)=0,N(Plano!$K19)=0),"",IF(Plano!$K19+Plano!$G19*MAX(0,ROUNDUP((X$5-Plano!$K19)/Plano!$G19,0))&lt;=IF(DAY(X$5)&gt;=29,EOMONTH(X$5,0),X$5+6),"●",""))</f>
        <v/>
      </c>
      <c r="Y22" s="53" t="str">
        <f ca="1">IF(OR(NOT(ISNUMBER(Y$5)),N(Plano!$G19)=0,N(Plano!$K19)=0),"",IF(Plano!$K19+Plano!$G19*MAX(0,ROUNDUP((Y$5-Plano!$K19)/Plano!$G19,0))&lt;=IF(DAY(Y$5)&gt;=29,EOMONTH(Y$5,0),Y$5+6),"●",""))</f>
        <v/>
      </c>
      <c r="Z22" s="54" t="str">
        <f ca="1">IF(OR(NOT(ISNUMBER(Z$5)),N(Plano!$G19)=0,N(Plano!$K19)=0),"",IF(Plano!$K19+Plano!$G19*MAX(0,ROUNDUP((Z$5-Plano!$K19)/Plano!$G19,0))&lt;=IF(DAY(Z$5)&gt;=29,EOMONTH(Z$5,0),Z$5+6),"●",""))</f>
        <v/>
      </c>
      <c r="AA22" s="53" t="str">
        <f ca="1">IF(OR(NOT(ISNUMBER(AA$5)),N(Plano!$G19)=0,N(Plano!$K19)=0),"",IF(Plano!$K19+Plano!$G19*MAX(0,ROUNDUP((AA$5-Plano!$K19)/Plano!$G19,0))&lt;=IF(DAY(AA$5)&gt;=29,EOMONTH(AA$5,0),AA$5+6),"●",""))</f>
        <v/>
      </c>
      <c r="AB22" s="53" t="str">
        <f ca="1">IF(OR(NOT(ISNUMBER(AB$5)),N(Plano!$G19)=0,N(Plano!$K19)=0),"",IF(Plano!$K19+Plano!$G19*MAX(0,ROUNDUP((AB$5-Plano!$K19)/Plano!$G19,0))&lt;=IF(DAY(AB$5)&gt;=29,EOMONTH(AB$5,0),AB$5+6),"●",""))</f>
        <v/>
      </c>
      <c r="AC22" s="53" t="str">
        <f ca="1">IF(OR(NOT(ISNUMBER(AC$5)),N(Plano!$G19)=0,N(Plano!$K19)=0),"",IF(Plano!$K19+Plano!$G19*MAX(0,ROUNDUP((AC$5-Plano!$K19)/Plano!$G19,0))&lt;=IF(DAY(AC$5)&gt;=29,EOMONTH(AC$5,0),AC$5+6),"●",""))</f>
        <v/>
      </c>
      <c r="AD22" s="53" t="str">
        <f ca="1">IF(OR(NOT(ISNUMBER(AD$5)),N(Plano!$G19)=0,N(Plano!$K19)=0),"",IF(Plano!$K19+Plano!$G19*MAX(0,ROUNDUP((AD$5-Plano!$K19)/Plano!$G19,0))&lt;=IF(DAY(AD$5)&gt;=29,EOMONTH(AD$5,0),AD$5+6),"●",""))</f>
        <v/>
      </c>
      <c r="AE22" s="54" t="str">
        <f ca="1">IF(OR(NOT(ISNUMBER(AE$5)),N(Plano!$G19)=0,N(Plano!$K19)=0),"",IF(Plano!$K19+Plano!$G19*MAX(0,ROUNDUP((AE$5-Plano!$K19)/Plano!$G19,0))&lt;=IF(DAY(AE$5)&gt;=29,EOMONTH(AE$5,0),AE$5+6),"●",""))</f>
        <v/>
      </c>
      <c r="AF22" s="53" t="str">
        <f ca="1">IF(OR(NOT(ISNUMBER(AF$5)),N(Plano!$G19)=0,N(Plano!$K19)=0),"",IF(Plano!$K19+Plano!$G19*MAX(0,ROUNDUP((AF$5-Plano!$K19)/Plano!$G19,0))&lt;=IF(DAY(AF$5)&gt;=29,EOMONTH(AF$5,0),AF$5+6),"●",""))</f>
        <v/>
      </c>
      <c r="AG22" s="53" t="str">
        <f ca="1">IF(OR(NOT(ISNUMBER(AG$5)),N(Plano!$G19)=0,N(Plano!$K19)=0),"",IF(Plano!$K19+Plano!$G19*MAX(0,ROUNDUP((AG$5-Plano!$K19)/Plano!$G19,0))&lt;=IF(DAY(AG$5)&gt;=29,EOMONTH(AG$5,0),AG$5+6),"●",""))</f>
        <v/>
      </c>
      <c r="AH22" s="53" t="str">
        <f ca="1">IF(OR(NOT(ISNUMBER(AH$5)),N(Plano!$G19)=0,N(Plano!$K19)=0),"",IF(Plano!$K19+Plano!$G19*MAX(0,ROUNDUP((AH$5-Plano!$K19)/Plano!$G19,0))&lt;=IF(DAY(AH$5)&gt;=29,EOMONTH(AH$5,0),AH$5+6),"●",""))</f>
        <v/>
      </c>
      <c r="AI22" s="53" t="str">
        <f ca="1">IF(OR(NOT(ISNUMBER(AI$5)),N(Plano!$G19)=0,N(Plano!$K19)=0),"",IF(Plano!$K19+Plano!$G19*MAX(0,ROUNDUP((AI$5-Plano!$K19)/Plano!$G19,0))&lt;=IF(DAY(AI$5)&gt;=29,EOMONTH(AI$5,0),AI$5+6),"●",""))</f>
        <v/>
      </c>
      <c r="AJ22" s="54" t="str">
        <f ca="1">IF(OR(NOT(ISNUMBER(AJ$5)),N(Plano!$G19)=0,N(Plano!$K19)=0),"",IF(Plano!$K19+Plano!$G19*MAX(0,ROUNDUP((AJ$5-Plano!$K19)/Plano!$G19,0))&lt;=IF(DAY(AJ$5)&gt;=29,EOMONTH(AJ$5,0),AJ$5+6),"●",""))</f>
        <v/>
      </c>
      <c r="AK22" s="53" t="str">
        <f ca="1">IF(OR(NOT(ISNUMBER(AK$5)),N(Plano!$G19)=0,N(Plano!$K19)=0),"",IF(Plano!$K19+Plano!$G19*MAX(0,ROUNDUP((AK$5-Plano!$K19)/Plano!$G19,0))&lt;=IF(DAY(AK$5)&gt;=29,EOMONTH(AK$5,0),AK$5+6),"●",""))</f>
        <v/>
      </c>
      <c r="AL22" s="53" t="str">
        <f ca="1">IF(OR(NOT(ISNUMBER(AL$5)),N(Plano!$G19)=0,N(Plano!$K19)=0),"",IF(Plano!$K19+Plano!$G19*MAX(0,ROUNDUP((AL$5-Plano!$K19)/Plano!$G19,0))&lt;=IF(DAY(AL$5)&gt;=29,EOMONTH(AL$5,0),AL$5+6),"●",""))</f>
        <v/>
      </c>
      <c r="AM22" s="53" t="str">
        <f ca="1">IF(OR(NOT(ISNUMBER(AM$5)),N(Plano!$G19)=0,N(Plano!$K19)=0),"",IF(Plano!$K19+Plano!$G19*MAX(0,ROUNDUP((AM$5-Plano!$K19)/Plano!$G19,0))&lt;=IF(DAY(AM$5)&gt;=29,EOMONTH(AM$5,0),AM$5+6),"●",""))</f>
        <v/>
      </c>
      <c r="AN22" s="53" t="str">
        <f ca="1">IF(OR(NOT(ISNUMBER(AN$5)),N(Plano!$G19)=0,N(Plano!$K19)=0),"",IF(Plano!$K19+Plano!$G19*MAX(0,ROUNDUP((AN$5-Plano!$K19)/Plano!$G19,0))&lt;=IF(DAY(AN$5)&gt;=29,EOMONTH(AN$5,0),AN$5+6),"●",""))</f>
        <v/>
      </c>
      <c r="AO22" s="54" t="str">
        <f ca="1">IF(OR(NOT(ISNUMBER(AO$5)),N(Plano!$G19)=0,N(Plano!$K19)=0),"",IF(Plano!$K19+Plano!$G19*MAX(0,ROUNDUP((AO$5-Plano!$K19)/Plano!$G19,0))&lt;=IF(DAY(AO$5)&gt;=29,EOMONTH(AO$5,0),AO$5+6),"●",""))</f>
        <v/>
      </c>
      <c r="AP22" s="53" t="str">
        <f ca="1">IF(OR(NOT(ISNUMBER(AP$5)),N(Plano!$G19)=0,N(Plano!$K19)=0),"",IF(Plano!$K19+Plano!$G19*MAX(0,ROUNDUP((AP$5-Plano!$K19)/Plano!$G19,0))&lt;=IF(DAY(AP$5)&gt;=29,EOMONTH(AP$5,0),AP$5+6),"●",""))</f>
        <v/>
      </c>
      <c r="AQ22" s="53" t="str">
        <f ca="1">IF(OR(NOT(ISNUMBER(AQ$5)),N(Plano!$G19)=0,N(Plano!$K19)=0),"",IF(Plano!$K19+Plano!$G19*MAX(0,ROUNDUP((AQ$5-Plano!$K19)/Plano!$G19,0))&lt;=IF(DAY(AQ$5)&gt;=29,EOMONTH(AQ$5,0),AQ$5+6),"●",""))</f>
        <v/>
      </c>
      <c r="AR22" s="53" t="str">
        <f ca="1">IF(OR(NOT(ISNUMBER(AR$5)),N(Plano!$G19)=0,N(Plano!$K19)=0),"",IF(Plano!$K19+Plano!$G19*MAX(0,ROUNDUP((AR$5-Plano!$K19)/Plano!$G19,0))&lt;=IF(DAY(AR$5)&gt;=29,EOMONTH(AR$5,0),AR$5+6),"●",""))</f>
        <v/>
      </c>
      <c r="AS22" s="53" t="str">
        <f ca="1">IF(OR(NOT(ISNUMBER(AS$5)),N(Plano!$G19)=0,N(Plano!$K19)=0),"",IF(Plano!$K19+Plano!$G19*MAX(0,ROUNDUP((AS$5-Plano!$K19)/Plano!$G19,0))&lt;=IF(DAY(AS$5)&gt;=29,EOMONTH(AS$5,0),AS$5+6),"●",""))</f>
        <v/>
      </c>
      <c r="AT22" s="54" t="str">
        <f ca="1">IF(OR(NOT(ISNUMBER(AT$5)),N(Plano!$G19)=0,N(Plano!$K19)=0),"",IF(Plano!$K19+Plano!$G19*MAX(0,ROUNDUP((AT$5-Plano!$K19)/Plano!$G19,0))&lt;=IF(DAY(AT$5)&gt;=29,EOMONTH(AT$5,0),AT$5+6),"●",""))</f>
        <v/>
      </c>
      <c r="AU22" s="53" t="str">
        <f ca="1">IF(OR(NOT(ISNUMBER(AU$5)),N(Plano!$G19)=0,N(Plano!$K19)=0),"",IF(Plano!$K19+Plano!$G19*MAX(0,ROUNDUP((AU$5-Plano!$K19)/Plano!$G19,0))&lt;=IF(DAY(AU$5)&gt;=29,EOMONTH(AU$5,0),AU$5+6),"●",""))</f>
        <v/>
      </c>
      <c r="AV22" s="53" t="str">
        <f ca="1">IF(OR(NOT(ISNUMBER(AV$5)),N(Plano!$G19)=0,N(Plano!$K19)=0),"",IF(Plano!$K19+Plano!$G19*MAX(0,ROUNDUP((AV$5-Plano!$K19)/Plano!$G19,0))&lt;=IF(DAY(AV$5)&gt;=29,EOMONTH(AV$5,0),AV$5+6),"●",""))</f>
        <v/>
      </c>
      <c r="AW22" s="53" t="str">
        <f ca="1">IF(OR(NOT(ISNUMBER(AW$5)),N(Plano!$G19)=0,N(Plano!$K19)=0),"",IF(Plano!$K19+Plano!$G19*MAX(0,ROUNDUP((AW$5-Plano!$K19)/Plano!$G19,0))&lt;=IF(DAY(AW$5)&gt;=29,EOMONTH(AW$5,0),AW$5+6),"●",""))</f>
        <v/>
      </c>
      <c r="AX22" s="53" t="str">
        <f ca="1">IF(OR(NOT(ISNUMBER(AX$5)),N(Plano!$G19)=0,N(Plano!$K19)=0),"",IF(Plano!$K19+Plano!$G19*MAX(0,ROUNDUP((AX$5-Plano!$K19)/Plano!$G19,0))&lt;=IF(DAY(AX$5)&gt;=29,EOMONTH(AX$5,0),AX$5+6),"●",""))</f>
        <v/>
      </c>
      <c r="AY22" s="54" t="str">
        <f ca="1">IF(OR(NOT(ISNUMBER(AY$5)),N(Plano!$G19)=0,N(Plano!$K19)=0),"",IF(Plano!$K19+Plano!$G19*MAX(0,ROUNDUP((AY$5-Plano!$K19)/Plano!$G19,0))&lt;=IF(DAY(AY$5)&gt;=29,EOMONTH(AY$5,0),AY$5+6),"●",""))</f>
        <v/>
      </c>
      <c r="AZ22" s="53" t="str">
        <f ca="1">IF(OR(NOT(ISNUMBER(AZ$5)),N(Plano!$G19)=0,N(Plano!$K19)=0),"",IF(Plano!$K19+Plano!$G19*MAX(0,ROUNDUP((AZ$5-Plano!$K19)/Plano!$G19,0))&lt;=IF(DAY(AZ$5)&gt;=29,EOMONTH(AZ$5,0),AZ$5+6),"●",""))</f>
        <v/>
      </c>
      <c r="BA22" s="53" t="str">
        <f ca="1">IF(OR(NOT(ISNUMBER(BA$5)),N(Plano!$G19)=0,N(Plano!$K19)=0),"",IF(Plano!$K19+Plano!$G19*MAX(0,ROUNDUP((BA$5-Plano!$K19)/Plano!$G19,0))&lt;=IF(DAY(BA$5)&gt;=29,EOMONTH(BA$5,0),BA$5+6),"●",""))</f>
        <v/>
      </c>
      <c r="BB22" s="53" t="str">
        <f ca="1">IF(OR(NOT(ISNUMBER(BB$5)),N(Plano!$G19)=0,N(Plano!$K19)=0),"",IF(Plano!$K19+Plano!$G19*MAX(0,ROUNDUP((BB$5-Plano!$K19)/Plano!$G19,0))&lt;=IF(DAY(BB$5)&gt;=29,EOMONTH(BB$5,0),BB$5+6),"●",""))</f>
        <v/>
      </c>
      <c r="BC22" s="53" t="str">
        <f ca="1">IF(OR(NOT(ISNUMBER(BC$5)),N(Plano!$G19)=0,N(Plano!$K19)=0),"",IF(Plano!$K19+Plano!$G19*MAX(0,ROUNDUP((BC$5-Plano!$K19)/Plano!$G19,0))&lt;=IF(DAY(BC$5)&gt;=29,EOMONTH(BC$5,0),BC$5+6),"●",""))</f>
        <v/>
      </c>
      <c r="BD22" s="54" t="str">
        <f ca="1">IF(OR(NOT(ISNUMBER(BD$5)),N(Plano!$G19)=0,N(Plano!$K19)=0),"",IF(Plano!$K19+Plano!$G19*MAX(0,ROUNDUP((BD$5-Plano!$K19)/Plano!$G19,0))&lt;=IF(DAY(BD$5)&gt;=29,EOMONTH(BD$5,0),BD$5+6),"●",""))</f>
        <v/>
      </c>
      <c r="BE22" s="53" t="str">
        <f ca="1">IF(OR(NOT(ISNUMBER(BE$5)),N(Plano!$G19)=0,N(Plano!$K19)=0),"",IF(Plano!$K19+Plano!$G19*MAX(0,ROUNDUP((BE$5-Plano!$K19)/Plano!$G19,0))&lt;=IF(DAY(BE$5)&gt;=29,EOMONTH(BE$5,0),BE$5+6),"●",""))</f>
        <v/>
      </c>
      <c r="BF22" s="53" t="str">
        <f ca="1">IF(OR(NOT(ISNUMBER(BF$5)),N(Plano!$G19)=0,N(Plano!$K19)=0),"",IF(Plano!$K19+Plano!$G19*MAX(0,ROUNDUP((BF$5-Plano!$K19)/Plano!$G19,0))&lt;=IF(DAY(BF$5)&gt;=29,EOMONTH(BF$5,0),BF$5+6),"●",""))</f>
        <v/>
      </c>
      <c r="BG22" s="53" t="str">
        <f ca="1">IF(OR(NOT(ISNUMBER(BG$5)),N(Plano!$G19)=0,N(Plano!$K19)=0),"",IF(Plano!$K19+Plano!$G19*MAX(0,ROUNDUP((BG$5-Plano!$K19)/Plano!$G19,0))&lt;=IF(DAY(BG$5)&gt;=29,EOMONTH(BG$5,0),BG$5+6),"●",""))</f>
        <v/>
      </c>
      <c r="BH22" s="53" t="str">
        <f ca="1">IF(OR(NOT(ISNUMBER(BH$5)),N(Plano!$G19)=0,N(Plano!$K19)=0),"",IF(Plano!$K19+Plano!$G19*MAX(0,ROUNDUP((BH$5-Plano!$K19)/Plano!$G19,0))&lt;=IF(DAY(BH$5)&gt;=29,EOMONTH(BH$5,0),BH$5+6),"●",""))</f>
        <v/>
      </c>
      <c r="BI22" s="54" t="str">
        <f ca="1">IF(OR(NOT(ISNUMBER(BI$5)),N(Plano!$G19)=0,N(Plano!$K19)=0),"",IF(Plano!$K19+Plano!$G19*MAX(0,ROUNDUP((BI$5-Plano!$K19)/Plano!$G19,0))&lt;=IF(DAY(BI$5)&gt;=29,EOMONTH(BI$5,0),BI$5+6),"●",""))</f>
        <v/>
      </c>
      <c r="BJ22" s="53" t="str">
        <f ca="1">IF(OR(NOT(ISNUMBER(BJ$5)),N(Plano!$G19)=0,N(Plano!$K19)=0),"",IF(Plano!$K19+Plano!$G19*MAX(0,ROUNDUP((BJ$5-Plano!$K19)/Plano!$G19,0))&lt;=IF(DAY(BJ$5)&gt;=29,EOMONTH(BJ$5,0),BJ$5+6),"●",""))</f>
        <v/>
      </c>
      <c r="BK22" s="53" t="str">
        <f ca="1">IF(OR(NOT(ISNUMBER(BK$5)),N(Plano!$G19)=0,N(Plano!$K19)=0),"",IF(Plano!$K19+Plano!$G19*MAX(0,ROUNDUP((BK$5-Plano!$K19)/Plano!$G19,0))&lt;=IF(DAY(BK$5)&gt;=29,EOMONTH(BK$5,0),BK$5+6),"●",""))</f>
        <v/>
      </c>
      <c r="BL22" s="53" t="str">
        <f ca="1">IF(OR(NOT(ISNUMBER(BL$5)),N(Plano!$G19)=0,N(Plano!$K19)=0),"",IF(Plano!$K19+Plano!$G19*MAX(0,ROUNDUP((BL$5-Plano!$K19)/Plano!$G19,0))&lt;=IF(DAY(BL$5)&gt;=29,EOMONTH(BL$5,0),BL$5+6),"●",""))</f>
        <v/>
      </c>
      <c r="BM22" s="55" t="str">
        <f ca="1">IF(OR(NOT(ISNUMBER(BM$5)),N(Plano!$G19)=0,N(Plano!$K19)=0),"",IF(Plano!$K19+Plano!$G19*MAX(0,ROUNDUP((BM$5-Plano!$K19)/Plano!$G19,0))&lt;=IF(DAY(BM$5)&gt;=29,EOMONTH(BM$5,0),BM$5+6),"●",""))</f>
        <v/>
      </c>
    </row>
    <row r="23" spans="1:65" ht="18" customHeight="1">
      <c r="A23" s="161" t="s">
        <v>199</v>
      </c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2"/>
    </row>
    <row r="24" spans="1:65" ht="18" customHeight="1">
      <c r="A24" s="40">
        <f>Plano!A21</f>
        <v>16</v>
      </c>
      <c r="B24" s="51" t="str">
        <f>IF(Plano!B21="","",Plano!B21)</f>
        <v/>
      </c>
      <c r="C24" s="20" t="str">
        <f>IF(B24="","",IFERROR(INDEX(tb_pcm_ativos[descricao_ativo],MATCH(B24,tb_pcm_ativos[tag],0)),"fora do cadastro"))</f>
        <v/>
      </c>
      <c r="D24" s="20" t="str">
        <f>IF(Plano!E21="","",Plano!E21)</f>
        <v/>
      </c>
      <c r="E24" s="52" t="str">
        <f>IF(Plano!G21="","",Plano!G21)</f>
        <v/>
      </c>
      <c r="F24" s="53" t="str">
        <f ca="1">IF(OR(NOT(ISNUMBER(F$5)),N(Plano!$G21)=0,N(Plano!$K21)=0),"",IF(Plano!$K21+Plano!$G21*MAX(0,ROUNDUP((F$5-Plano!$K21)/Plano!$G21,0))&lt;=IF(DAY(F$5)&gt;=29,EOMONTH(F$5,0),F$5+6),"●",""))</f>
        <v/>
      </c>
      <c r="G24" s="53" t="str">
        <f ca="1">IF(OR(NOT(ISNUMBER(G$5)),N(Plano!$G21)=0,N(Plano!$K21)=0),"",IF(Plano!$K21+Plano!$G21*MAX(0,ROUNDUP((G$5-Plano!$K21)/Plano!$G21,0))&lt;=IF(DAY(G$5)&gt;=29,EOMONTH(G$5,0),G$5+6),"●",""))</f>
        <v/>
      </c>
      <c r="H24" s="53" t="str">
        <f ca="1">IF(OR(NOT(ISNUMBER(H$5)),N(Plano!$G21)=0,N(Plano!$K21)=0),"",IF(Plano!$K21+Plano!$G21*MAX(0,ROUNDUP((H$5-Plano!$K21)/Plano!$G21,0))&lt;=IF(DAY(H$5)&gt;=29,EOMONTH(H$5,0),H$5+6),"●",""))</f>
        <v/>
      </c>
      <c r="I24" s="53" t="str">
        <f ca="1">IF(OR(NOT(ISNUMBER(I$5)),N(Plano!$G21)=0,N(Plano!$K21)=0),"",IF(Plano!$K21+Plano!$G21*MAX(0,ROUNDUP((I$5-Plano!$K21)/Plano!$G21,0))&lt;=IF(DAY(I$5)&gt;=29,EOMONTH(I$5,0),I$5+6),"●",""))</f>
        <v/>
      </c>
      <c r="J24" s="53" t="str">
        <f ca="1">IF(OR(NOT(ISNUMBER(J$5)),N(Plano!$G21)=0,N(Plano!$K21)=0),"",IF(Plano!$K21+Plano!$G21*MAX(0,ROUNDUP((J$5-Plano!$K21)/Plano!$G21,0))&lt;=IF(DAY(J$5)&gt;=29,EOMONTH(J$5,0),J$5+6),"●",""))</f>
        <v/>
      </c>
      <c r="K24" s="54" t="str">
        <f ca="1">IF(OR(NOT(ISNUMBER(K$5)),N(Plano!$G21)=0,N(Plano!$K21)=0),"",IF(Plano!$K21+Plano!$G21*MAX(0,ROUNDUP((K$5-Plano!$K21)/Plano!$G21,0))&lt;=IF(DAY(K$5)&gt;=29,EOMONTH(K$5,0),K$5+6),"●",""))</f>
        <v/>
      </c>
      <c r="L24" s="53" t="str">
        <f ca="1">IF(OR(NOT(ISNUMBER(L$5)),N(Plano!$G21)=0,N(Plano!$K21)=0),"",IF(Plano!$K21+Plano!$G21*MAX(0,ROUNDUP((L$5-Plano!$K21)/Plano!$G21,0))&lt;=IF(DAY(L$5)&gt;=29,EOMONTH(L$5,0),L$5+6),"●",""))</f>
        <v/>
      </c>
      <c r="M24" s="53" t="str">
        <f ca="1">IF(OR(NOT(ISNUMBER(M$5)),N(Plano!$G21)=0,N(Plano!$K21)=0),"",IF(Plano!$K21+Plano!$G21*MAX(0,ROUNDUP((M$5-Plano!$K21)/Plano!$G21,0))&lt;=IF(DAY(M$5)&gt;=29,EOMONTH(M$5,0),M$5+6),"●",""))</f>
        <v/>
      </c>
      <c r="N24" s="53" t="str">
        <f ca="1">IF(OR(NOT(ISNUMBER(N$5)),N(Plano!$G21)=0,N(Plano!$K21)=0),"",IF(Plano!$K21+Plano!$G21*MAX(0,ROUNDUP((N$5-Plano!$K21)/Plano!$G21,0))&lt;=IF(DAY(N$5)&gt;=29,EOMONTH(N$5,0),N$5+6),"●",""))</f>
        <v/>
      </c>
      <c r="O24" s="53" t="str">
        <f ca="1">IF(OR(NOT(ISNUMBER(O$5)),N(Plano!$G21)=0,N(Plano!$K21)=0),"",IF(Plano!$K21+Plano!$G21*MAX(0,ROUNDUP((O$5-Plano!$K21)/Plano!$G21,0))&lt;=IF(DAY(O$5)&gt;=29,EOMONTH(O$5,0),O$5+6),"●",""))</f>
        <v/>
      </c>
      <c r="P24" s="54" t="str">
        <f ca="1">IF(OR(NOT(ISNUMBER(P$5)),N(Plano!$G21)=0,N(Plano!$K21)=0),"",IF(Plano!$K21+Plano!$G21*MAX(0,ROUNDUP((P$5-Plano!$K21)/Plano!$G21,0))&lt;=IF(DAY(P$5)&gt;=29,EOMONTH(P$5,0),P$5+6),"●",""))</f>
        <v/>
      </c>
      <c r="Q24" s="53" t="str">
        <f ca="1">IF(OR(NOT(ISNUMBER(Q$5)),N(Plano!$G21)=0,N(Plano!$K21)=0),"",IF(Plano!$K21+Plano!$G21*MAX(0,ROUNDUP((Q$5-Plano!$K21)/Plano!$G21,0))&lt;=IF(DAY(Q$5)&gt;=29,EOMONTH(Q$5,0),Q$5+6),"●",""))</f>
        <v/>
      </c>
      <c r="R24" s="53" t="str">
        <f ca="1">IF(OR(NOT(ISNUMBER(R$5)),N(Plano!$G21)=0,N(Plano!$K21)=0),"",IF(Plano!$K21+Plano!$G21*MAX(0,ROUNDUP((R$5-Plano!$K21)/Plano!$G21,0))&lt;=IF(DAY(R$5)&gt;=29,EOMONTH(R$5,0),R$5+6),"●",""))</f>
        <v/>
      </c>
      <c r="S24" s="53" t="str">
        <f ca="1">IF(OR(NOT(ISNUMBER(S$5)),N(Plano!$G21)=0,N(Plano!$K21)=0),"",IF(Plano!$K21+Plano!$G21*MAX(0,ROUNDUP((S$5-Plano!$K21)/Plano!$G21,0))&lt;=IF(DAY(S$5)&gt;=29,EOMONTH(S$5,0),S$5+6),"●",""))</f>
        <v/>
      </c>
      <c r="T24" s="53" t="str">
        <f ca="1">IF(OR(NOT(ISNUMBER(T$5)),N(Plano!$G21)=0,N(Plano!$K21)=0),"",IF(Plano!$K21+Plano!$G21*MAX(0,ROUNDUP((T$5-Plano!$K21)/Plano!$G21,0))&lt;=IF(DAY(T$5)&gt;=29,EOMONTH(T$5,0),T$5+6),"●",""))</f>
        <v/>
      </c>
      <c r="U24" s="54" t="str">
        <f ca="1">IF(OR(NOT(ISNUMBER(U$5)),N(Plano!$G21)=0,N(Plano!$K21)=0),"",IF(Plano!$K21+Plano!$G21*MAX(0,ROUNDUP((U$5-Plano!$K21)/Plano!$G21,0))&lt;=IF(DAY(U$5)&gt;=29,EOMONTH(U$5,0),U$5+6),"●",""))</f>
        <v/>
      </c>
      <c r="V24" s="53" t="str">
        <f ca="1">IF(OR(NOT(ISNUMBER(V$5)),N(Plano!$G21)=0,N(Plano!$K21)=0),"",IF(Plano!$K21+Plano!$G21*MAX(0,ROUNDUP((V$5-Plano!$K21)/Plano!$G21,0))&lt;=IF(DAY(V$5)&gt;=29,EOMONTH(V$5,0),V$5+6),"●",""))</f>
        <v/>
      </c>
      <c r="W24" s="53" t="str">
        <f ca="1">IF(OR(NOT(ISNUMBER(W$5)),N(Plano!$G21)=0,N(Plano!$K21)=0),"",IF(Plano!$K21+Plano!$G21*MAX(0,ROUNDUP((W$5-Plano!$K21)/Plano!$G21,0))&lt;=IF(DAY(W$5)&gt;=29,EOMONTH(W$5,0),W$5+6),"●",""))</f>
        <v/>
      </c>
      <c r="X24" s="53" t="str">
        <f ca="1">IF(OR(NOT(ISNUMBER(X$5)),N(Plano!$G21)=0,N(Plano!$K21)=0),"",IF(Plano!$K21+Plano!$G21*MAX(0,ROUNDUP((X$5-Plano!$K21)/Plano!$G21,0))&lt;=IF(DAY(X$5)&gt;=29,EOMONTH(X$5,0),X$5+6),"●",""))</f>
        <v/>
      </c>
      <c r="Y24" s="53" t="str">
        <f ca="1">IF(OR(NOT(ISNUMBER(Y$5)),N(Plano!$G21)=0,N(Plano!$K21)=0),"",IF(Plano!$K21+Plano!$G21*MAX(0,ROUNDUP((Y$5-Plano!$K21)/Plano!$G21,0))&lt;=IF(DAY(Y$5)&gt;=29,EOMONTH(Y$5,0),Y$5+6),"●",""))</f>
        <v/>
      </c>
      <c r="Z24" s="54" t="str">
        <f ca="1">IF(OR(NOT(ISNUMBER(Z$5)),N(Plano!$G21)=0,N(Plano!$K21)=0),"",IF(Plano!$K21+Plano!$G21*MAX(0,ROUNDUP((Z$5-Plano!$K21)/Plano!$G21,0))&lt;=IF(DAY(Z$5)&gt;=29,EOMONTH(Z$5,0),Z$5+6),"●",""))</f>
        <v/>
      </c>
      <c r="AA24" s="53" t="str">
        <f ca="1">IF(OR(NOT(ISNUMBER(AA$5)),N(Plano!$G21)=0,N(Plano!$K21)=0),"",IF(Plano!$K21+Plano!$G21*MAX(0,ROUNDUP((AA$5-Plano!$K21)/Plano!$G21,0))&lt;=IF(DAY(AA$5)&gt;=29,EOMONTH(AA$5,0),AA$5+6),"●",""))</f>
        <v/>
      </c>
      <c r="AB24" s="53" t="str">
        <f ca="1">IF(OR(NOT(ISNUMBER(AB$5)),N(Plano!$G21)=0,N(Plano!$K21)=0),"",IF(Plano!$K21+Plano!$G21*MAX(0,ROUNDUP((AB$5-Plano!$K21)/Plano!$G21,0))&lt;=IF(DAY(AB$5)&gt;=29,EOMONTH(AB$5,0),AB$5+6),"●",""))</f>
        <v/>
      </c>
      <c r="AC24" s="53" t="str">
        <f ca="1">IF(OR(NOT(ISNUMBER(AC$5)),N(Plano!$G21)=0,N(Plano!$K21)=0),"",IF(Plano!$K21+Plano!$G21*MAX(0,ROUNDUP((AC$5-Plano!$K21)/Plano!$G21,0))&lt;=IF(DAY(AC$5)&gt;=29,EOMONTH(AC$5,0),AC$5+6),"●",""))</f>
        <v/>
      </c>
      <c r="AD24" s="53" t="str">
        <f ca="1">IF(OR(NOT(ISNUMBER(AD$5)),N(Plano!$G21)=0,N(Plano!$K21)=0),"",IF(Plano!$K21+Plano!$G21*MAX(0,ROUNDUP((AD$5-Plano!$K21)/Plano!$G21,0))&lt;=IF(DAY(AD$5)&gt;=29,EOMONTH(AD$5,0),AD$5+6),"●",""))</f>
        <v/>
      </c>
      <c r="AE24" s="54" t="str">
        <f ca="1">IF(OR(NOT(ISNUMBER(AE$5)),N(Plano!$G21)=0,N(Plano!$K21)=0),"",IF(Plano!$K21+Plano!$G21*MAX(0,ROUNDUP((AE$5-Plano!$K21)/Plano!$G21,0))&lt;=IF(DAY(AE$5)&gt;=29,EOMONTH(AE$5,0),AE$5+6),"●",""))</f>
        <v/>
      </c>
      <c r="AF24" s="53" t="str">
        <f ca="1">IF(OR(NOT(ISNUMBER(AF$5)),N(Plano!$G21)=0,N(Plano!$K21)=0),"",IF(Plano!$K21+Plano!$G21*MAX(0,ROUNDUP((AF$5-Plano!$K21)/Plano!$G21,0))&lt;=IF(DAY(AF$5)&gt;=29,EOMONTH(AF$5,0),AF$5+6),"●",""))</f>
        <v/>
      </c>
      <c r="AG24" s="53" t="str">
        <f ca="1">IF(OR(NOT(ISNUMBER(AG$5)),N(Plano!$G21)=0,N(Plano!$K21)=0),"",IF(Plano!$K21+Plano!$G21*MAX(0,ROUNDUP((AG$5-Plano!$K21)/Plano!$G21,0))&lt;=IF(DAY(AG$5)&gt;=29,EOMONTH(AG$5,0),AG$5+6),"●",""))</f>
        <v/>
      </c>
      <c r="AH24" s="53" t="str">
        <f ca="1">IF(OR(NOT(ISNUMBER(AH$5)),N(Plano!$G21)=0,N(Plano!$K21)=0),"",IF(Plano!$K21+Plano!$G21*MAX(0,ROUNDUP((AH$5-Plano!$K21)/Plano!$G21,0))&lt;=IF(DAY(AH$5)&gt;=29,EOMONTH(AH$5,0),AH$5+6),"●",""))</f>
        <v/>
      </c>
      <c r="AI24" s="53" t="str">
        <f ca="1">IF(OR(NOT(ISNUMBER(AI$5)),N(Plano!$G21)=0,N(Plano!$K21)=0),"",IF(Plano!$K21+Plano!$G21*MAX(0,ROUNDUP((AI$5-Plano!$K21)/Plano!$G21,0))&lt;=IF(DAY(AI$5)&gt;=29,EOMONTH(AI$5,0),AI$5+6),"●",""))</f>
        <v/>
      </c>
      <c r="AJ24" s="54" t="str">
        <f ca="1">IF(OR(NOT(ISNUMBER(AJ$5)),N(Plano!$G21)=0,N(Plano!$K21)=0),"",IF(Plano!$K21+Plano!$G21*MAX(0,ROUNDUP((AJ$5-Plano!$K21)/Plano!$G21,0))&lt;=IF(DAY(AJ$5)&gt;=29,EOMONTH(AJ$5,0),AJ$5+6),"●",""))</f>
        <v/>
      </c>
      <c r="AK24" s="53" t="str">
        <f ca="1">IF(OR(NOT(ISNUMBER(AK$5)),N(Plano!$G21)=0,N(Plano!$K21)=0),"",IF(Plano!$K21+Plano!$G21*MAX(0,ROUNDUP((AK$5-Plano!$K21)/Plano!$G21,0))&lt;=IF(DAY(AK$5)&gt;=29,EOMONTH(AK$5,0),AK$5+6),"●",""))</f>
        <v/>
      </c>
      <c r="AL24" s="53" t="str">
        <f ca="1">IF(OR(NOT(ISNUMBER(AL$5)),N(Plano!$G21)=0,N(Plano!$K21)=0),"",IF(Plano!$K21+Plano!$G21*MAX(0,ROUNDUP((AL$5-Plano!$K21)/Plano!$G21,0))&lt;=IF(DAY(AL$5)&gt;=29,EOMONTH(AL$5,0),AL$5+6),"●",""))</f>
        <v/>
      </c>
      <c r="AM24" s="53" t="str">
        <f ca="1">IF(OR(NOT(ISNUMBER(AM$5)),N(Plano!$G21)=0,N(Plano!$K21)=0),"",IF(Plano!$K21+Plano!$G21*MAX(0,ROUNDUP((AM$5-Plano!$K21)/Plano!$G21,0))&lt;=IF(DAY(AM$5)&gt;=29,EOMONTH(AM$5,0),AM$5+6),"●",""))</f>
        <v/>
      </c>
      <c r="AN24" s="53" t="str">
        <f ca="1">IF(OR(NOT(ISNUMBER(AN$5)),N(Plano!$G21)=0,N(Plano!$K21)=0),"",IF(Plano!$K21+Plano!$G21*MAX(0,ROUNDUP((AN$5-Plano!$K21)/Plano!$G21,0))&lt;=IF(DAY(AN$5)&gt;=29,EOMONTH(AN$5,0),AN$5+6),"●",""))</f>
        <v/>
      </c>
      <c r="AO24" s="54" t="str">
        <f ca="1">IF(OR(NOT(ISNUMBER(AO$5)),N(Plano!$G21)=0,N(Plano!$K21)=0),"",IF(Plano!$K21+Plano!$G21*MAX(0,ROUNDUP((AO$5-Plano!$K21)/Plano!$G21,0))&lt;=IF(DAY(AO$5)&gt;=29,EOMONTH(AO$5,0),AO$5+6),"●",""))</f>
        <v/>
      </c>
      <c r="AP24" s="53" t="str">
        <f ca="1">IF(OR(NOT(ISNUMBER(AP$5)),N(Plano!$G21)=0,N(Plano!$K21)=0),"",IF(Plano!$K21+Plano!$G21*MAX(0,ROUNDUP((AP$5-Plano!$K21)/Plano!$G21,0))&lt;=IF(DAY(AP$5)&gt;=29,EOMONTH(AP$5,0),AP$5+6),"●",""))</f>
        <v/>
      </c>
      <c r="AQ24" s="53" t="str">
        <f ca="1">IF(OR(NOT(ISNUMBER(AQ$5)),N(Plano!$G21)=0,N(Plano!$K21)=0),"",IF(Plano!$K21+Plano!$G21*MAX(0,ROUNDUP((AQ$5-Plano!$K21)/Plano!$G21,0))&lt;=IF(DAY(AQ$5)&gt;=29,EOMONTH(AQ$5,0),AQ$5+6),"●",""))</f>
        <v/>
      </c>
      <c r="AR24" s="53" t="str">
        <f ca="1">IF(OR(NOT(ISNUMBER(AR$5)),N(Plano!$G21)=0,N(Plano!$K21)=0),"",IF(Plano!$K21+Plano!$G21*MAX(0,ROUNDUP((AR$5-Plano!$K21)/Plano!$G21,0))&lt;=IF(DAY(AR$5)&gt;=29,EOMONTH(AR$5,0),AR$5+6),"●",""))</f>
        <v/>
      </c>
      <c r="AS24" s="53" t="str">
        <f ca="1">IF(OR(NOT(ISNUMBER(AS$5)),N(Plano!$G21)=0,N(Plano!$K21)=0),"",IF(Plano!$K21+Plano!$G21*MAX(0,ROUNDUP((AS$5-Plano!$K21)/Plano!$G21,0))&lt;=IF(DAY(AS$5)&gt;=29,EOMONTH(AS$5,0),AS$5+6),"●",""))</f>
        <v/>
      </c>
      <c r="AT24" s="54" t="str">
        <f ca="1">IF(OR(NOT(ISNUMBER(AT$5)),N(Plano!$G21)=0,N(Plano!$K21)=0),"",IF(Plano!$K21+Plano!$G21*MAX(0,ROUNDUP((AT$5-Plano!$K21)/Plano!$G21,0))&lt;=IF(DAY(AT$5)&gt;=29,EOMONTH(AT$5,0),AT$5+6),"●",""))</f>
        <v/>
      </c>
      <c r="AU24" s="53" t="str">
        <f ca="1">IF(OR(NOT(ISNUMBER(AU$5)),N(Plano!$G21)=0,N(Plano!$K21)=0),"",IF(Plano!$K21+Plano!$G21*MAX(0,ROUNDUP((AU$5-Plano!$K21)/Plano!$G21,0))&lt;=IF(DAY(AU$5)&gt;=29,EOMONTH(AU$5,0),AU$5+6),"●",""))</f>
        <v/>
      </c>
      <c r="AV24" s="53" t="str">
        <f ca="1">IF(OR(NOT(ISNUMBER(AV$5)),N(Plano!$G21)=0,N(Plano!$K21)=0),"",IF(Plano!$K21+Plano!$G21*MAX(0,ROUNDUP((AV$5-Plano!$K21)/Plano!$G21,0))&lt;=IF(DAY(AV$5)&gt;=29,EOMONTH(AV$5,0),AV$5+6),"●",""))</f>
        <v/>
      </c>
      <c r="AW24" s="53" t="str">
        <f ca="1">IF(OR(NOT(ISNUMBER(AW$5)),N(Plano!$G21)=0,N(Plano!$K21)=0),"",IF(Plano!$K21+Plano!$G21*MAX(0,ROUNDUP((AW$5-Plano!$K21)/Plano!$G21,0))&lt;=IF(DAY(AW$5)&gt;=29,EOMONTH(AW$5,0),AW$5+6),"●",""))</f>
        <v/>
      </c>
      <c r="AX24" s="53" t="str">
        <f ca="1">IF(OR(NOT(ISNUMBER(AX$5)),N(Plano!$G21)=0,N(Plano!$K21)=0),"",IF(Plano!$K21+Plano!$G21*MAX(0,ROUNDUP((AX$5-Plano!$K21)/Plano!$G21,0))&lt;=IF(DAY(AX$5)&gt;=29,EOMONTH(AX$5,0),AX$5+6),"●",""))</f>
        <v/>
      </c>
      <c r="AY24" s="54" t="str">
        <f ca="1">IF(OR(NOT(ISNUMBER(AY$5)),N(Plano!$G21)=0,N(Plano!$K21)=0),"",IF(Plano!$K21+Plano!$G21*MAX(0,ROUNDUP((AY$5-Plano!$K21)/Plano!$G21,0))&lt;=IF(DAY(AY$5)&gt;=29,EOMONTH(AY$5,0),AY$5+6),"●",""))</f>
        <v/>
      </c>
      <c r="AZ24" s="53" t="str">
        <f ca="1">IF(OR(NOT(ISNUMBER(AZ$5)),N(Plano!$G21)=0,N(Plano!$K21)=0),"",IF(Plano!$K21+Plano!$G21*MAX(0,ROUNDUP((AZ$5-Plano!$K21)/Plano!$G21,0))&lt;=IF(DAY(AZ$5)&gt;=29,EOMONTH(AZ$5,0),AZ$5+6),"●",""))</f>
        <v/>
      </c>
      <c r="BA24" s="53" t="str">
        <f ca="1">IF(OR(NOT(ISNUMBER(BA$5)),N(Plano!$G21)=0,N(Plano!$K21)=0),"",IF(Plano!$K21+Plano!$G21*MAX(0,ROUNDUP((BA$5-Plano!$K21)/Plano!$G21,0))&lt;=IF(DAY(BA$5)&gt;=29,EOMONTH(BA$5,0),BA$5+6),"●",""))</f>
        <v/>
      </c>
      <c r="BB24" s="53" t="str">
        <f ca="1">IF(OR(NOT(ISNUMBER(BB$5)),N(Plano!$G21)=0,N(Plano!$K21)=0),"",IF(Plano!$K21+Plano!$G21*MAX(0,ROUNDUP((BB$5-Plano!$K21)/Plano!$G21,0))&lt;=IF(DAY(BB$5)&gt;=29,EOMONTH(BB$5,0),BB$5+6),"●",""))</f>
        <v/>
      </c>
      <c r="BC24" s="53" t="str">
        <f ca="1">IF(OR(NOT(ISNUMBER(BC$5)),N(Plano!$G21)=0,N(Plano!$K21)=0),"",IF(Plano!$K21+Plano!$G21*MAX(0,ROUNDUP((BC$5-Plano!$K21)/Plano!$G21,0))&lt;=IF(DAY(BC$5)&gt;=29,EOMONTH(BC$5,0),BC$5+6),"●",""))</f>
        <v/>
      </c>
      <c r="BD24" s="54" t="str">
        <f ca="1">IF(OR(NOT(ISNUMBER(BD$5)),N(Plano!$G21)=0,N(Plano!$K21)=0),"",IF(Plano!$K21+Plano!$G21*MAX(0,ROUNDUP((BD$5-Plano!$K21)/Plano!$G21,0))&lt;=IF(DAY(BD$5)&gt;=29,EOMONTH(BD$5,0),BD$5+6),"●",""))</f>
        <v/>
      </c>
      <c r="BE24" s="53" t="str">
        <f ca="1">IF(OR(NOT(ISNUMBER(BE$5)),N(Plano!$G21)=0,N(Plano!$K21)=0),"",IF(Plano!$K21+Plano!$G21*MAX(0,ROUNDUP((BE$5-Plano!$K21)/Plano!$G21,0))&lt;=IF(DAY(BE$5)&gt;=29,EOMONTH(BE$5,0),BE$5+6),"●",""))</f>
        <v/>
      </c>
      <c r="BF24" s="53" t="str">
        <f ca="1">IF(OR(NOT(ISNUMBER(BF$5)),N(Plano!$G21)=0,N(Plano!$K21)=0),"",IF(Plano!$K21+Plano!$G21*MAX(0,ROUNDUP((BF$5-Plano!$K21)/Plano!$G21,0))&lt;=IF(DAY(BF$5)&gt;=29,EOMONTH(BF$5,0),BF$5+6),"●",""))</f>
        <v/>
      </c>
      <c r="BG24" s="53" t="str">
        <f ca="1">IF(OR(NOT(ISNUMBER(BG$5)),N(Plano!$G21)=0,N(Plano!$K21)=0),"",IF(Plano!$K21+Plano!$G21*MAX(0,ROUNDUP((BG$5-Plano!$K21)/Plano!$G21,0))&lt;=IF(DAY(BG$5)&gt;=29,EOMONTH(BG$5,0),BG$5+6),"●",""))</f>
        <v/>
      </c>
      <c r="BH24" s="53" t="str">
        <f ca="1">IF(OR(NOT(ISNUMBER(BH$5)),N(Plano!$G21)=0,N(Plano!$K21)=0),"",IF(Plano!$K21+Plano!$G21*MAX(0,ROUNDUP((BH$5-Plano!$K21)/Plano!$G21,0))&lt;=IF(DAY(BH$5)&gt;=29,EOMONTH(BH$5,0),BH$5+6),"●",""))</f>
        <v/>
      </c>
      <c r="BI24" s="54" t="str">
        <f ca="1">IF(OR(NOT(ISNUMBER(BI$5)),N(Plano!$G21)=0,N(Plano!$K21)=0),"",IF(Plano!$K21+Plano!$G21*MAX(0,ROUNDUP((BI$5-Plano!$K21)/Plano!$G21,0))&lt;=IF(DAY(BI$5)&gt;=29,EOMONTH(BI$5,0),BI$5+6),"●",""))</f>
        <v/>
      </c>
      <c r="BJ24" s="53" t="str">
        <f ca="1">IF(OR(NOT(ISNUMBER(BJ$5)),N(Plano!$G21)=0,N(Plano!$K21)=0),"",IF(Plano!$K21+Plano!$G21*MAX(0,ROUNDUP((BJ$5-Plano!$K21)/Plano!$G21,0))&lt;=IF(DAY(BJ$5)&gt;=29,EOMONTH(BJ$5,0),BJ$5+6),"●",""))</f>
        <v/>
      </c>
      <c r="BK24" s="53" t="str">
        <f ca="1">IF(OR(NOT(ISNUMBER(BK$5)),N(Plano!$G21)=0,N(Plano!$K21)=0),"",IF(Plano!$K21+Plano!$G21*MAX(0,ROUNDUP((BK$5-Plano!$K21)/Plano!$G21,0))&lt;=IF(DAY(BK$5)&gt;=29,EOMONTH(BK$5,0),BK$5+6),"●",""))</f>
        <v/>
      </c>
      <c r="BL24" s="53" t="str">
        <f ca="1">IF(OR(NOT(ISNUMBER(BL$5)),N(Plano!$G21)=0,N(Plano!$K21)=0),"",IF(Plano!$K21+Plano!$G21*MAX(0,ROUNDUP((BL$5-Plano!$K21)/Plano!$G21,0))&lt;=IF(DAY(BL$5)&gt;=29,EOMONTH(BL$5,0),BL$5+6),"●",""))</f>
        <v/>
      </c>
      <c r="BM24" s="55" t="str">
        <f ca="1">IF(OR(NOT(ISNUMBER(BM$5)),N(Plano!$G21)=0,N(Plano!$K21)=0),"",IF(Plano!$K21+Plano!$G21*MAX(0,ROUNDUP((BM$5-Plano!$K21)/Plano!$G21,0))&lt;=IF(DAY(BM$5)&gt;=29,EOMONTH(BM$5,0),BM$5+6),"●",""))</f>
        <v/>
      </c>
    </row>
    <row r="25" spans="1:65" ht="18" customHeight="1">
      <c r="A25" s="40">
        <f>Plano!A22</f>
        <v>17</v>
      </c>
      <c r="B25" s="51" t="str">
        <f>IF(Plano!B22="","",Plano!B22)</f>
        <v/>
      </c>
      <c r="C25" s="20" t="str">
        <f>IF(B25="","",IFERROR(INDEX(tb_pcm_ativos[descricao_ativo],MATCH(B25,tb_pcm_ativos[tag],0)),"fora do cadastro"))</f>
        <v/>
      </c>
      <c r="D25" s="20" t="str">
        <f>IF(Plano!E22="","",Plano!E22)</f>
        <v/>
      </c>
      <c r="E25" s="52" t="str">
        <f>IF(Plano!G22="","",Plano!G22)</f>
        <v/>
      </c>
      <c r="F25" s="53" t="str">
        <f ca="1">IF(OR(NOT(ISNUMBER(F$5)),N(Plano!$G22)=0,N(Plano!$K22)=0),"",IF(Plano!$K22+Plano!$G22*MAX(0,ROUNDUP((F$5-Plano!$K22)/Plano!$G22,0))&lt;=IF(DAY(F$5)&gt;=29,EOMONTH(F$5,0),F$5+6),"●",""))</f>
        <v/>
      </c>
      <c r="G25" s="53" t="str">
        <f ca="1">IF(OR(NOT(ISNUMBER(G$5)),N(Plano!$G22)=0,N(Plano!$K22)=0),"",IF(Plano!$K22+Plano!$G22*MAX(0,ROUNDUP((G$5-Plano!$K22)/Plano!$G22,0))&lt;=IF(DAY(G$5)&gt;=29,EOMONTH(G$5,0),G$5+6),"●",""))</f>
        <v/>
      </c>
      <c r="H25" s="53" t="str">
        <f ca="1">IF(OR(NOT(ISNUMBER(H$5)),N(Plano!$G22)=0,N(Plano!$K22)=0),"",IF(Plano!$K22+Plano!$G22*MAX(0,ROUNDUP((H$5-Plano!$K22)/Plano!$G22,0))&lt;=IF(DAY(H$5)&gt;=29,EOMONTH(H$5,0),H$5+6),"●",""))</f>
        <v/>
      </c>
      <c r="I25" s="53" t="str">
        <f ca="1">IF(OR(NOT(ISNUMBER(I$5)),N(Plano!$G22)=0,N(Plano!$K22)=0),"",IF(Plano!$K22+Plano!$G22*MAX(0,ROUNDUP((I$5-Plano!$K22)/Plano!$G22,0))&lt;=IF(DAY(I$5)&gt;=29,EOMONTH(I$5,0),I$5+6),"●",""))</f>
        <v/>
      </c>
      <c r="J25" s="53" t="str">
        <f ca="1">IF(OR(NOT(ISNUMBER(J$5)),N(Plano!$G22)=0,N(Plano!$K22)=0),"",IF(Plano!$K22+Plano!$G22*MAX(0,ROUNDUP((J$5-Plano!$K22)/Plano!$G22,0))&lt;=IF(DAY(J$5)&gt;=29,EOMONTH(J$5,0),J$5+6),"●",""))</f>
        <v/>
      </c>
      <c r="K25" s="54" t="str">
        <f ca="1">IF(OR(NOT(ISNUMBER(K$5)),N(Plano!$G22)=0,N(Plano!$K22)=0),"",IF(Plano!$K22+Plano!$G22*MAX(0,ROUNDUP((K$5-Plano!$K22)/Plano!$G22,0))&lt;=IF(DAY(K$5)&gt;=29,EOMONTH(K$5,0),K$5+6),"●",""))</f>
        <v/>
      </c>
      <c r="L25" s="53" t="str">
        <f ca="1">IF(OR(NOT(ISNUMBER(L$5)),N(Plano!$G22)=0,N(Plano!$K22)=0),"",IF(Plano!$K22+Plano!$G22*MAX(0,ROUNDUP((L$5-Plano!$K22)/Plano!$G22,0))&lt;=IF(DAY(L$5)&gt;=29,EOMONTH(L$5,0),L$5+6),"●",""))</f>
        <v/>
      </c>
      <c r="M25" s="53" t="str">
        <f ca="1">IF(OR(NOT(ISNUMBER(M$5)),N(Plano!$G22)=0,N(Plano!$K22)=0),"",IF(Plano!$K22+Plano!$G22*MAX(0,ROUNDUP((M$5-Plano!$K22)/Plano!$G22,0))&lt;=IF(DAY(M$5)&gt;=29,EOMONTH(M$5,0),M$5+6),"●",""))</f>
        <v/>
      </c>
      <c r="N25" s="53" t="str">
        <f ca="1">IF(OR(NOT(ISNUMBER(N$5)),N(Plano!$G22)=0,N(Plano!$K22)=0),"",IF(Plano!$K22+Plano!$G22*MAX(0,ROUNDUP((N$5-Plano!$K22)/Plano!$G22,0))&lt;=IF(DAY(N$5)&gt;=29,EOMONTH(N$5,0),N$5+6),"●",""))</f>
        <v/>
      </c>
      <c r="O25" s="53" t="str">
        <f ca="1">IF(OR(NOT(ISNUMBER(O$5)),N(Plano!$G22)=0,N(Plano!$K22)=0),"",IF(Plano!$K22+Plano!$G22*MAX(0,ROUNDUP((O$5-Plano!$K22)/Plano!$G22,0))&lt;=IF(DAY(O$5)&gt;=29,EOMONTH(O$5,0),O$5+6),"●",""))</f>
        <v/>
      </c>
      <c r="P25" s="54" t="str">
        <f ca="1">IF(OR(NOT(ISNUMBER(P$5)),N(Plano!$G22)=0,N(Plano!$K22)=0),"",IF(Plano!$K22+Plano!$G22*MAX(0,ROUNDUP((P$5-Plano!$K22)/Plano!$G22,0))&lt;=IF(DAY(P$5)&gt;=29,EOMONTH(P$5,0),P$5+6),"●",""))</f>
        <v/>
      </c>
      <c r="Q25" s="53" t="str">
        <f ca="1">IF(OR(NOT(ISNUMBER(Q$5)),N(Plano!$G22)=0,N(Plano!$K22)=0),"",IF(Plano!$K22+Plano!$G22*MAX(0,ROUNDUP((Q$5-Plano!$K22)/Plano!$G22,0))&lt;=IF(DAY(Q$5)&gt;=29,EOMONTH(Q$5,0),Q$5+6),"●",""))</f>
        <v/>
      </c>
      <c r="R25" s="53" t="str">
        <f ca="1">IF(OR(NOT(ISNUMBER(R$5)),N(Plano!$G22)=0,N(Plano!$K22)=0),"",IF(Plano!$K22+Plano!$G22*MAX(0,ROUNDUP((R$5-Plano!$K22)/Plano!$G22,0))&lt;=IF(DAY(R$5)&gt;=29,EOMONTH(R$5,0),R$5+6),"●",""))</f>
        <v/>
      </c>
      <c r="S25" s="53" t="str">
        <f ca="1">IF(OR(NOT(ISNUMBER(S$5)),N(Plano!$G22)=0,N(Plano!$K22)=0),"",IF(Plano!$K22+Plano!$G22*MAX(0,ROUNDUP((S$5-Plano!$K22)/Plano!$G22,0))&lt;=IF(DAY(S$5)&gt;=29,EOMONTH(S$5,0),S$5+6),"●",""))</f>
        <v/>
      </c>
      <c r="T25" s="53" t="str">
        <f ca="1">IF(OR(NOT(ISNUMBER(T$5)),N(Plano!$G22)=0,N(Plano!$K22)=0),"",IF(Plano!$K22+Plano!$G22*MAX(0,ROUNDUP((T$5-Plano!$K22)/Plano!$G22,0))&lt;=IF(DAY(T$5)&gt;=29,EOMONTH(T$5,0),T$5+6),"●",""))</f>
        <v/>
      </c>
      <c r="U25" s="54" t="str">
        <f ca="1">IF(OR(NOT(ISNUMBER(U$5)),N(Plano!$G22)=0,N(Plano!$K22)=0),"",IF(Plano!$K22+Plano!$G22*MAX(0,ROUNDUP((U$5-Plano!$K22)/Plano!$G22,0))&lt;=IF(DAY(U$5)&gt;=29,EOMONTH(U$5,0),U$5+6),"●",""))</f>
        <v/>
      </c>
      <c r="V25" s="53" t="str">
        <f ca="1">IF(OR(NOT(ISNUMBER(V$5)),N(Plano!$G22)=0,N(Plano!$K22)=0),"",IF(Plano!$K22+Plano!$G22*MAX(0,ROUNDUP((V$5-Plano!$K22)/Plano!$G22,0))&lt;=IF(DAY(V$5)&gt;=29,EOMONTH(V$5,0),V$5+6),"●",""))</f>
        <v/>
      </c>
      <c r="W25" s="53" t="str">
        <f ca="1">IF(OR(NOT(ISNUMBER(W$5)),N(Plano!$G22)=0,N(Plano!$K22)=0),"",IF(Plano!$K22+Plano!$G22*MAX(0,ROUNDUP((W$5-Plano!$K22)/Plano!$G22,0))&lt;=IF(DAY(W$5)&gt;=29,EOMONTH(W$5,0),W$5+6),"●",""))</f>
        <v/>
      </c>
      <c r="X25" s="53" t="str">
        <f ca="1">IF(OR(NOT(ISNUMBER(X$5)),N(Plano!$G22)=0,N(Plano!$K22)=0),"",IF(Plano!$K22+Plano!$G22*MAX(0,ROUNDUP((X$5-Plano!$K22)/Plano!$G22,0))&lt;=IF(DAY(X$5)&gt;=29,EOMONTH(X$5,0),X$5+6),"●",""))</f>
        <v/>
      </c>
      <c r="Y25" s="53" t="str">
        <f ca="1">IF(OR(NOT(ISNUMBER(Y$5)),N(Plano!$G22)=0,N(Plano!$K22)=0),"",IF(Plano!$K22+Plano!$G22*MAX(0,ROUNDUP((Y$5-Plano!$K22)/Plano!$G22,0))&lt;=IF(DAY(Y$5)&gt;=29,EOMONTH(Y$5,0),Y$5+6),"●",""))</f>
        <v/>
      </c>
      <c r="Z25" s="54" t="str">
        <f ca="1">IF(OR(NOT(ISNUMBER(Z$5)),N(Plano!$G22)=0,N(Plano!$K22)=0),"",IF(Plano!$K22+Plano!$G22*MAX(0,ROUNDUP((Z$5-Plano!$K22)/Plano!$G22,0))&lt;=IF(DAY(Z$5)&gt;=29,EOMONTH(Z$5,0),Z$5+6),"●",""))</f>
        <v/>
      </c>
      <c r="AA25" s="53" t="str">
        <f ca="1">IF(OR(NOT(ISNUMBER(AA$5)),N(Plano!$G22)=0,N(Plano!$K22)=0),"",IF(Plano!$K22+Plano!$G22*MAX(0,ROUNDUP((AA$5-Plano!$K22)/Plano!$G22,0))&lt;=IF(DAY(AA$5)&gt;=29,EOMONTH(AA$5,0),AA$5+6),"●",""))</f>
        <v/>
      </c>
      <c r="AB25" s="53" t="str">
        <f ca="1">IF(OR(NOT(ISNUMBER(AB$5)),N(Plano!$G22)=0,N(Plano!$K22)=0),"",IF(Plano!$K22+Plano!$G22*MAX(0,ROUNDUP((AB$5-Plano!$K22)/Plano!$G22,0))&lt;=IF(DAY(AB$5)&gt;=29,EOMONTH(AB$5,0),AB$5+6),"●",""))</f>
        <v/>
      </c>
      <c r="AC25" s="53" t="str">
        <f ca="1">IF(OR(NOT(ISNUMBER(AC$5)),N(Plano!$G22)=0,N(Plano!$K22)=0),"",IF(Plano!$K22+Plano!$G22*MAX(0,ROUNDUP((AC$5-Plano!$K22)/Plano!$G22,0))&lt;=IF(DAY(AC$5)&gt;=29,EOMONTH(AC$5,0),AC$5+6),"●",""))</f>
        <v/>
      </c>
      <c r="AD25" s="53" t="str">
        <f ca="1">IF(OR(NOT(ISNUMBER(AD$5)),N(Plano!$G22)=0,N(Plano!$K22)=0),"",IF(Plano!$K22+Plano!$G22*MAX(0,ROUNDUP((AD$5-Plano!$K22)/Plano!$G22,0))&lt;=IF(DAY(AD$5)&gt;=29,EOMONTH(AD$5,0),AD$5+6),"●",""))</f>
        <v/>
      </c>
      <c r="AE25" s="54" t="str">
        <f ca="1">IF(OR(NOT(ISNUMBER(AE$5)),N(Plano!$G22)=0,N(Plano!$K22)=0),"",IF(Plano!$K22+Plano!$G22*MAX(0,ROUNDUP((AE$5-Plano!$K22)/Plano!$G22,0))&lt;=IF(DAY(AE$5)&gt;=29,EOMONTH(AE$5,0),AE$5+6),"●",""))</f>
        <v/>
      </c>
      <c r="AF25" s="53" t="str">
        <f ca="1">IF(OR(NOT(ISNUMBER(AF$5)),N(Plano!$G22)=0,N(Plano!$K22)=0),"",IF(Plano!$K22+Plano!$G22*MAX(0,ROUNDUP((AF$5-Plano!$K22)/Plano!$G22,0))&lt;=IF(DAY(AF$5)&gt;=29,EOMONTH(AF$5,0),AF$5+6),"●",""))</f>
        <v/>
      </c>
      <c r="AG25" s="53" t="str">
        <f ca="1">IF(OR(NOT(ISNUMBER(AG$5)),N(Plano!$G22)=0,N(Plano!$K22)=0),"",IF(Plano!$K22+Plano!$G22*MAX(0,ROUNDUP((AG$5-Plano!$K22)/Plano!$G22,0))&lt;=IF(DAY(AG$5)&gt;=29,EOMONTH(AG$5,0),AG$5+6),"●",""))</f>
        <v/>
      </c>
      <c r="AH25" s="53" t="str">
        <f ca="1">IF(OR(NOT(ISNUMBER(AH$5)),N(Plano!$G22)=0,N(Plano!$K22)=0),"",IF(Plano!$K22+Plano!$G22*MAX(0,ROUNDUP((AH$5-Plano!$K22)/Plano!$G22,0))&lt;=IF(DAY(AH$5)&gt;=29,EOMONTH(AH$5,0),AH$5+6),"●",""))</f>
        <v/>
      </c>
      <c r="AI25" s="53" t="str">
        <f ca="1">IF(OR(NOT(ISNUMBER(AI$5)),N(Plano!$G22)=0,N(Plano!$K22)=0),"",IF(Plano!$K22+Plano!$G22*MAX(0,ROUNDUP((AI$5-Plano!$K22)/Plano!$G22,0))&lt;=IF(DAY(AI$5)&gt;=29,EOMONTH(AI$5,0),AI$5+6),"●",""))</f>
        <v/>
      </c>
      <c r="AJ25" s="54" t="str">
        <f ca="1">IF(OR(NOT(ISNUMBER(AJ$5)),N(Plano!$G22)=0,N(Plano!$K22)=0),"",IF(Plano!$K22+Plano!$G22*MAX(0,ROUNDUP((AJ$5-Plano!$K22)/Plano!$G22,0))&lt;=IF(DAY(AJ$5)&gt;=29,EOMONTH(AJ$5,0),AJ$5+6),"●",""))</f>
        <v/>
      </c>
      <c r="AK25" s="53" t="str">
        <f ca="1">IF(OR(NOT(ISNUMBER(AK$5)),N(Plano!$G22)=0,N(Plano!$K22)=0),"",IF(Plano!$K22+Plano!$G22*MAX(0,ROUNDUP((AK$5-Plano!$K22)/Plano!$G22,0))&lt;=IF(DAY(AK$5)&gt;=29,EOMONTH(AK$5,0),AK$5+6),"●",""))</f>
        <v/>
      </c>
      <c r="AL25" s="53" t="str">
        <f ca="1">IF(OR(NOT(ISNUMBER(AL$5)),N(Plano!$G22)=0,N(Plano!$K22)=0),"",IF(Plano!$K22+Plano!$G22*MAX(0,ROUNDUP((AL$5-Plano!$K22)/Plano!$G22,0))&lt;=IF(DAY(AL$5)&gt;=29,EOMONTH(AL$5,0),AL$5+6),"●",""))</f>
        <v/>
      </c>
      <c r="AM25" s="53" t="str">
        <f ca="1">IF(OR(NOT(ISNUMBER(AM$5)),N(Plano!$G22)=0,N(Plano!$K22)=0),"",IF(Plano!$K22+Plano!$G22*MAX(0,ROUNDUP((AM$5-Plano!$K22)/Plano!$G22,0))&lt;=IF(DAY(AM$5)&gt;=29,EOMONTH(AM$5,0),AM$5+6),"●",""))</f>
        <v/>
      </c>
      <c r="AN25" s="53" t="str">
        <f ca="1">IF(OR(NOT(ISNUMBER(AN$5)),N(Plano!$G22)=0,N(Plano!$K22)=0),"",IF(Plano!$K22+Plano!$G22*MAX(0,ROUNDUP((AN$5-Plano!$K22)/Plano!$G22,0))&lt;=IF(DAY(AN$5)&gt;=29,EOMONTH(AN$5,0),AN$5+6),"●",""))</f>
        <v/>
      </c>
      <c r="AO25" s="54" t="str">
        <f ca="1">IF(OR(NOT(ISNUMBER(AO$5)),N(Plano!$G22)=0,N(Plano!$K22)=0),"",IF(Plano!$K22+Plano!$G22*MAX(0,ROUNDUP((AO$5-Plano!$K22)/Plano!$G22,0))&lt;=IF(DAY(AO$5)&gt;=29,EOMONTH(AO$5,0),AO$5+6),"●",""))</f>
        <v/>
      </c>
      <c r="AP25" s="53" t="str">
        <f ca="1">IF(OR(NOT(ISNUMBER(AP$5)),N(Plano!$G22)=0,N(Plano!$K22)=0),"",IF(Plano!$K22+Plano!$G22*MAX(0,ROUNDUP((AP$5-Plano!$K22)/Plano!$G22,0))&lt;=IF(DAY(AP$5)&gt;=29,EOMONTH(AP$5,0),AP$5+6),"●",""))</f>
        <v/>
      </c>
      <c r="AQ25" s="53" t="str">
        <f ca="1">IF(OR(NOT(ISNUMBER(AQ$5)),N(Plano!$G22)=0,N(Plano!$K22)=0),"",IF(Plano!$K22+Plano!$G22*MAX(0,ROUNDUP((AQ$5-Plano!$K22)/Plano!$G22,0))&lt;=IF(DAY(AQ$5)&gt;=29,EOMONTH(AQ$5,0),AQ$5+6),"●",""))</f>
        <v/>
      </c>
      <c r="AR25" s="53" t="str">
        <f ca="1">IF(OR(NOT(ISNUMBER(AR$5)),N(Plano!$G22)=0,N(Plano!$K22)=0),"",IF(Plano!$K22+Plano!$G22*MAX(0,ROUNDUP((AR$5-Plano!$K22)/Plano!$G22,0))&lt;=IF(DAY(AR$5)&gt;=29,EOMONTH(AR$5,0),AR$5+6),"●",""))</f>
        <v/>
      </c>
      <c r="AS25" s="53" t="str">
        <f ca="1">IF(OR(NOT(ISNUMBER(AS$5)),N(Plano!$G22)=0,N(Plano!$K22)=0),"",IF(Plano!$K22+Plano!$G22*MAX(0,ROUNDUP((AS$5-Plano!$K22)/Plano!$G22,0))&lt;=IF(DAY(AS$5)&gt;=29,EOMONTH(AS$5,0),AS$5+6),"●",""))</f>
        <v/>
      </c>
      <c r="AT25" s="54" t="str">
        <f ca="1">IF(OR(NOT(ISNUMBER(AT$5)),N(Plano!$G22)=0,N(Plano!$K22)=0),"",IF(Plano!$K22+Plano!$G22*MAX(0,ROUNDUP((AT$5-Plano!$K22)/Plano!$G22,0))&lt;=IF(DAY(AT$5)&gt;=29,EOMONTH(AT$5,0),AT$5+6),"●",""))</f>
        <v/>
      </c>
      <c r="AU25" s="53" t="str">
        <f ca="1">IF(OR(NOT(ISNUMBER(AU$5)),N(Plano!$G22)=0,N(Plano!$K22)=0),"",IF(Plano!$K22+Plano!$G22*MAX(0,ROUNDUP((AU$5-Plano!$K22)/Plano!$G22,0))&lt;=IF(DAY(AU$5)&gt;=29,EOMONTH(AU$5,0),AU$5+6),"●",""))</f>
        <v/>
      </c>
      <c r="AV25" s="53" t="str">
        <f ca="1">IF(OR(NOT(ISNUMBER(AV$5)),N(Plano!$G22)=0,N(Plano!$K22)=0),"",IF(Plano!$K22+Plano!$G22*MAX(0,ROUNDUP((AV$5-Plano!$K22)/Plano!$G22,0))&lt;=IF(DAY(AV$5)&gt;=29,EOMONTH(AV$5,0),AV$5+6),"●",""))</f>
        <v/>
      </c>
      <c r="AW25" s="53" t="str">
        <f ca="1">IF(OR(NOT(ISNUMBER(AW$5)),N(Plano!$G22)=0,N(Plano!$K22)=0),"",IF(Plano!$K22+Plano!$G22*MAX(0,ROUNDUP((AW$5-Plano!$K22)/Plano!$G22,0))&lt;=IF(DAY(AW$5)&gt;=29,EOMONTH(AW$5,0),AW$5+6),"●",""))</f>
        <v/>
      </c>
      <c r="AX25" s="53" t="str">
        <f ca="1">IF(OR(NOT(ISNUMBER(AX$5)),N(Plano!$G22)=0,N(Plano!$K22)=0),"",IF(Plano!$K22+Plano!$G22*MAX(0,ROUNDUP((AX$5-Plano!$K22)/Plano!$G22,0))&lt;=IF(DAY(AX$5)&gt;=29,EOMONTH(AX$5,0),AX$5+6),"●",""))</f>
        <v/>
      </c>
      <c r="AY25" s="54" t="str">
        <f ca="1">IF(OR(NOT(ISNUMBER(AY$5)),N(Plano!$G22)=0,N(Plano!$K22)=0),"",IF(Plano!$K22+Plano!$G22*MAX(0,ROUNDUP((AY$5-Plano!$K22)/Plano!$G22,0))&lt;=IF(DAY(AY$5)&gt;=29,EOMONTH(AY$5,0),AY$5+6),"●",""))</f>
        <v/>
      </c>
      <c r="AZ25" s="53" t="str">
        <f ca="1">IF(OR(NOT(ISNUMBER(AZ$5)),N(Plano!$G22)=0,N(Plano!$K22)=0),"",IF(Plano!$K22+Plano!$G22*MAX(0,ROUNDUP((AZ$5-Plano!$K22)/Plano!$G22,0))&lt;=IF(DAY(AZ$5)&gt;=29,EOMONTH(AZ$5,0),AZ$5+6),"●",""))</f>
        <v/>
      </c>
      <c r="BA25" s="53" t="str">
        <f ca="1">IF(OR(NOT(ISNUMBER(BA$5)),N(Plano!$G22)=0,N(Plano!$K22)=0),"",IF(Plano!$K22+Plano!$G22*MAX(0,ROUNDUP((BA$5-Plano!$K22)/Plano!$G22,0))&lt;=IF(DAY(BA$5)&gt;=29,EOMONTH(BA$5,0),BA$5+6),"●",""))</f>
        <v/>
      </c>
      <c r="BB25" s="53" t="str">
        <f ca="1">IF(OR(NOT(ISNUMBER(BB$5)),N(Plano!$G22)=0,N(Plano!$K22)=0),"",IF(Plano!$K22+Plano!$G22*MAX(0,ROUNDUP((BB$5-Plano!$K22)/Plano!$G22,0))&lt;=IF(DAY(BB$5)&gt;=29,EOMONTH(BB$5,0),BB$5+6),"●",""))</f>
        <v/>
      </c>
      <c r="BC25" s="53" t="str">
        <f ca="1">IF(OR(NOT(ISNUMBER(BC$5)),N(Plano!$G22)=0,N(Plano!$K22)=0),"",IF(Plano!$K22+Plano!$G22*MAX(0,ROUNDUP((BC$5-Plano!$K22)/Plano!$G22,0))&lt;=IF(DAY(BC$5)&gt;=29,EOMONTH(BC$5,0),BC$5+6),"●",""))</f>
        <v/>
      </c>
      <c r="BD25" s="54" t="str">
        <f ca="1">IF(OR(NOT(ISNUMBER(BD$5)),N(Plano!$G22)=0,N(Plano!$K22)=0),"",IF(Plano!$K22+Plano!$G22*MAX(0,ROUNDUP((BD$5-Plano!$K22)/Plano!$G22,0))&lt;=IF(DAY(BD$5)&gt;=29,EOMONTH(BD$5,0),BD$5+6),"●",""))</f>
        <v/>
      </c>
      <c r="BE25" s="53" t="str">
        <f ca="1">IF(OR(NOT(ISNUMBER(BE$5)),N(Plano!$G22)=0,N(Plano!$K22)=0),"",IF(Plano!$K22+Plano!$G22*MAX(0,ROUNDUP((BE$5-Plano!$K22)/Plano!$G22,0))&lt;=IF(DAY(BE$5)&gt;=29,EOMONTH(BE$5,0),BE$5+6),"●",""))</f>
        <v/>
      </c>
      <c r="BF25" s="53" t="str">
        <f ca="1">IF(OR(NOT(ISNUMBER(BF$5)),N(Plano!$G22)=0,N(Plano!$K22)=0),"",IF(Plano!$K22+Plano!$G22*MAX(0,ROUNDUP((BF$5-Plano!$K22)/Plano!$G22,0))&lt;=IF(DAY(BF$5)&gt;=29,EOMONTH(BF$5,0),BF$5+6),"●",""))</f>
        <v/>
      </c>
      <c r="BG25" s="53" t="str">
        <f ca="1">IF(OR(NOT(ISNUMBER(BG$5)),N(Plano!$G22)=0,N(Plano!$K22)=0),"",IF(Plano!$K22+Plano!$G22*MAX(0,ROUNDUP((BG$5-Plano!$K22)/Plano!$G22,0))&lt;=IF(DAY(BG$5)&gt;=29,EOMONTH(BG$5,0),BG$5+6),"●",""))</f>
        <v/>
      </c>
      <c r="BH25" s="53" t="str">
        <f ca="1">IF(OR(NOT(ISNUMBER(BH$5)),N(Plano!$G22)=0,N(Plano!$K22)=0),"",IF(Plano!$K22+Plano!$G22*MAX(0,ROUNDUP((BH$5-Plano!$K22)/Plano!$G22,0))&lt;=IF(DAY(BH$5)&gt;=29,EOMONTH(BH$5,0),BH$5+6),"●",""))</f>
        <v/>
      </c>
      <c r="BI25" s="54" t="str">
        <f ca="1">IF(OR(NOT(ISNUMBER(BI$5)),N(Plano!$G22)=0,N(Plano!$K22)=0),"",IF(Plano!$K22+Plano!$G22*MAX(0,ROUNDUP((BI$5-Plano!$K22)/Plano!$G22,0))&lt;=IF(DAY(BI$5)&gt;=29,EOMONTH(BI$5,0),BI$5+6),"●",""))</f>
        <v/>
      </c>
      <c r="BJ25" s="53" t="str">
        <f ca="1">IF(OR(NOT(ISNUMBER(BJ$5)),N(Plano!$G22)=0,N(Plano!$K22)=0),"",IF(Plano!$K22+Plano!$G22*MAX(0,ROUNDUP((BJ$5-Plano!$K22)/Plano!$G22,0))&lt;=IF(DAY(BJ$5)&gt;=29,EOMONTH(BJ$5,0),BJ$5+6),"●",""))</f>
        <v/>
      </c>
      <c r="BK25" s="53" t="str">
        <f ca="1">IF(OR(NOT(ISNUMBER(BK$5)),N(Plano!$G22)=0,N(Plano!$K22)=0),"",IF(Plano!$K22+Plano!$G22*MAX(0,ROUNDUP((BK$5-Plano!$K22)/Plano!$G22,0))&lt;=IF(DAY(BK$5)&gt;=29,EOMONTH(BK$5,0),BK$5+6),"●",""))</f>
        <v/>
      </c>
      <c r="BL25" s="53" t="str">
        <f ca="1">IF(OR(NOT(ISNUMBER(BL$5)),N(Plano!$G22)=0,N(Plano!$K22)=0),"",IF(Plano!$K22+Plano!$G22*MAX(0,ROUNDUP((BL$5-Plano!$K22)/Plano!$G22,0))&lt;=IF(DAY(BL$5)&gt;=29,EOMONTH(BL$5,0),BL$5+6),"●",""))</f>
        <v/>
      </c>
      <c r="BM25" s="55" t="str">
        <f ca="1">IF(OR(NOT(ISNUMBER(BM$5)),N(Plano!$G22)=0,N(Plano!$K22)=0),"",IF(Plano!$K22+Plano!$G22*MAX(0,ROUNDUP((BM$5-Plano!$K22)/Plano!$G22,0))&lt;=IF(DAY(BM$5)&gt;=29,EOMONTH(BM$5,0),BM$5+6),"●",""))</f>
        <v/>
      </c>
    </row>
    <row r="26" spans="1:65" ht="18" customHeight="1">
      <c r="A26" s="40">
        <f>Plano!A23</f>
        <v>18</v>
      </c>
      <c r="B26" s="51" t="str">
        <f>IF(Plano!B23="","",Plano!B23)</f>
        <v/>
      </c>
      <c r="C26" s="20" t="str">
        <f>IF(B26="","",IFERROR(INDEX(tb_pcm_ativos[descricao_ativo],MATCH(B26,tb_pcm_ativos[tag],0)),"fora do cadastro"))</f>
        <v/>
      </c>
      <c r="D26" s="20" t="str">
        <f>IF(Plano!E23="","",Plano!E23)</f>
        <v/>
      </c>
      <c r="E26" s="52" t="str">
        <f>IF(Plano!G23="","",Plano!G23)</f>
        <v/>
      </c>
      <c r="F26" s="53" t="str">
        <f ca="1">IF(OR(NOT(ISNUMBER(F$5)),N(Plano!$G23)=0,N(Plano!$K23)=0),"",IF(Plano!$K23+Plano!$G23*MAX(0,ROUNDUP((F$5-Plano!$K23)/Plano!$G23,0))&lt;=IF(DAY(F$5)&gt;=29,EOMONTH(F$5,0),F$5+6),"●",""))</f>
        <v/>
      </c>
      <c r="G26" s="53" t="str">
        <f ca="1">IF(OR(NOT(ISNUMBER(G$5)),N(Plano!$G23)=0,N(Plano!$K23)=0),"",IF(Plano!$K23+Plano!$G23*MAX(0,ROUNDUP((G$5-Plano!$K23)/Plano!$G23,0))&lt;=IF(DAY(G$5)&gt;=29,EOMONTH(G$5,0),G$5+6),"●",""))</f>
        <v/>
      </c>
      <c r="H26" s="53" t="str">
        <f ca="1">IF(OR(NOT(ISNUMBER(H$5)),N(Plano!$G23)=0,N(Plano!$K23)=0),"",IF(Plano!$K23+Plano!$G23*MAX(0,ROUNDUP((H$5-Plano!$K23)/Plano!$G23,0))&lt;=IF(DAY(H$5)&gt;=29,EOMONTH(H$5,0),H$5+6),"●",""))</f>
        <v/>
      </c>
      <c r="I26" s="53" t="str">
        <f ca="1">IF(OR(NOT(ISNUMBER(I$5)),N(Plano!$G23)=0,N(Plano!$K23)=0),"",IF(Plano!$K23+Plano!$G23*MAX(0,ROUNDUP((I$5-Plano!$K23)/Plano!$G23,0))&lt;=IF(DAY(I$5)&gt;=29,EOMONTH(I$5,0),I$5+6),"●",""))</f>
        <v/>
      </c>
      <c r="J26" s="53" t="str">
        <f ca="1">IF(OR(NOT(ISNUMBER(J$5)),N(Plano!$G23)=0,N(Plano!$K23)=0),"",IF(Plano!$K23+Plano!$G23*MAX(0,ROUNDUP((J$5-Plano!$K23)/Plano!$G23,0))&lt;=IF(DAY(J$5)&gt;=29,EOMONTH(J$5,0),J$5+6),"●",""))</f>
        <v/>
      </c>
      <c r="K26" s="54" t="str">
        <f ca="1">IF(OR(NOT(ISNUMBER(K$5)),N(Plano!$G23)=0,N(Plano!$K23)=0),"",IF(Plano!$K23+Plano!$G23*MAX(0,ROUNDUP((K$5-Plano!$K23)/Plano!$G23,0))&lt;=IF(DAY(K$5)&gt;=29,EOMONTH(K$5,0),K$5+6),"●",""))</f>
        <v/>
      </c>
      <c r="L26" s="53" t="str">
        <f ca="1">IF(OR(NOT(ISNUMBER(L$5)),N(Plano!$G23)=0,N(Plano!$K23)=0),"",IF(Plano!$K23+Plano!$G23*MAX(0,ROUNDUP((L$5-Plano!$K23)/Plano!$G23,0))&lt;=IF(DAY(L$5)&gt;=29,EOMONTH(L$5,0),L$5+6),"●",""))</f>
        <v/>
      </c>
      <c r="M26" s="53" t="str">
        <f ca="1">IF(OR(NOT(ISNUMBER(M$5)),N(Plano!$G23)=0,N(Plano!$K23)=0),"",IF(Plano!$K23+Plano!$G23*MAX(0,ROUNDUP((M$5-Plano!$K23)/Plano!$G23,0))&lt;=IF(DAY(M$5)&gt;=29,EOMONTH(M$5,0),M$5+6),"●",""))</f>
        <v/>
      </c>
      <c r="N26" s="53" t="str">
        <f ca="1">IF(OR(NOT(ISNUMBER(N$5)),N(Plano!$G23)=0,N(Plano!$K23)=0),"",IF(Plano!$K23+Plano!$G23*MAX(0,ROUNDUP((N$5-Plano!$K23)/Plano!$G23,0))&lt;=IF(DAY(N$5)&gt;=29,EOMONTH(N$5,0),N$5+6),"●",""))</f>
        <v/>
      </c>
      <c r="O26" s="53" t="str">
        <f ca="1">IF(OR(NOT(ISNUMBER(O$5)),N(Plano!$G23)=0,N(Plano!$K23)=0),"",IF(Plano!$K23+Plano!$G23*MAX(0,ROUNDUP((O$5-Plano!$K23)/Plano!$G23,0))&lt;=IF(DAY(O$5)&gt;=29,EOMONTH(O$5,0),O$5+6),"●",""))</f>
        <v/>
      </c>
      <c r="P26" s="54" t="str">
        <f ca="1">IF(OR(NOT(ISNUMBER(P$5)),N(Plano!$G23)=0,N(Plano!$K23)=0),"",IF(Plano!$K23+Plano!$G23*MAX(0,ROUNDUP((P$5-Plano!$K23)/Plano!$G23,0))&lt;=IF(DAY(P$5)&gt;=29,EOMONTH(P$5,0),P$5+6),"●",""))</f>
        <v/>
      </c>
      <c r="Q26" s="53" t="str">
        <f ca="1">IF(OR(NOT(ISNUMBER(Q$5)),N(Plano!$G23)=0,N(Plano!$K23)=0),"",IF(Plano!$K23+Plano!$G23*MAX(0,ROUNDUP((Q$5-Plano!$K23)/Plano!$G23,0))&lt;=IF(DAY(Q$5)&gt;=29,EOMONTH(Q$5,0),Q$5+6),"●",""))</f>
        <v/>
      </c>
      <c r="R26" s="53" t="str">
        <f ca="1">IF(OR(NOT(ISNUMBER(R$5)),N(Plano!$G23)=0,N(Plano!$K23)=0),"",IF(Plano!$K23+Plano!$G23*MAX(0,ROUNDUP((R$5-Plano!$K23)/Plano!$G23,0))&lt;=IF(DAY(R$5)&gt;=29,EOMONTH(R$5,0),R$5+6),"●",""))</f>
        <v/>
      </c>
      <c r="S26" s="53" t="str">
        <f ca="1">IF(OR(NOT(ISNUMBER(S$5)),N(Plano!$G23)=0,N(Plano!$K23)=0),"",IF(Plano!$K23+Plano!$G23*MAX(0,ROUNDUP((S$5-Plano!$K23)/Plano!$G23,0))&lt;=IF(DAY(S$5)&gt;=29,EOMONTH(S$5,0),S$5+6),"●",""))</f>
        <v/>
      </c>
      <c r="T26" s="53" t="str">
        <f ca="1">IF(OR(NOT(ISNUMBER(T$5)),N(Plano!$G23)=0,N(Plano!$K23)=0),"",IF(Plano!$K23+Plano!$G23*MAX(0,ROUNDUP((T$5-Plano!$K23)/Plano!$G23,0))&lt;=IF(DAY(T$5)&gt;=29,EOMONTH(T$5,0),T$5+6),"●",""))</f>
        <v/>
      </c>
      <c r="U26" s="54" t="str">
        <f ca="1">IF(OR(NOT(ISNUMBER(U$5)),N(Plano!$G23)=0,N(Plano!$K23)=0),"",IF(Plano!$K23+Plano!$G23*MAX(0,ROUNDUP((U$5-Plano!$K23)/Plano!$G23,0))&lt;=IF(DAY(U$5)&gt;=29,EOMONTH(U$5,0),U$5+6),"●",""))</f>
        <v/>
      </c>
      <c r="V26" s="53" t="str">
        <f ca="1">IF(OR(NOT(ISNUMBER(V$5)),N(Plano!$G23)=0,N(Plano!$K23)=0),"",IF(Plano!$K23+Plano!$G23*MAX(0,ROUNDUP((V$5-Plano!$K23)/Plano!$G23,0))&lt;=IF(DAY(V$5)&gt;=29,EOMONTH(V$5,0),V$5+6),"●",""))</f>
        <v/>
      </c>
      <c r="W26" s="53" t="str">
        <f ca="1">IF(OR(NOT(ISNUMBER(W$5)),N(Plano!$G23)=0,N(Plano!$K23)=0),"",IF(Plano!$K23+Plano!$G23*MAX(0,ROUNDUP((W$5-Plano!$K23)/Plano!$G23,0))&lt;=IF(DAY(W$5)&gt;=29,EOMONTH(W$5,0),W$5+6),"●",""))</f>
        <v/>
      </c>
      <c r="X26" s="53" t="str">
        <f ca="1">IF(OR(NOT(ISNUMBER(X$5)),N(Plano!$G23)=0,N(Plano!$K23)=0),"",IF(Plano!$K23+Plano!$G23*MAX(0,ROUNDUP((X$5-Plano!$K23)/Plano!$G23,0))&lt;=IF(DAY(X$5)&gt;=29,EOMONTH(X$5,0),X$5+6),"●",""))</f>
        <v/>
      </c>
      <c r="Y26" s="53" t="str">
        <f ca="1">IF(OR(NOT(ISNUMBER(Y$5)),N(Plano!$G23)=0,N(Plano!$K23)=0),"",IF(Plano!$K23+Plano!$G23*MAX(0,ROUNDUP((Y$5-Plano!$K23)/Plano!$G23,0))&lt;=IF(DAY(Y$5)&gt;=29,EOMONTH(Y$5,0),Y$5+6),"●",""))</f>
        <v/>
      </c>
      <c r="Z26" s="54" t="str">
        <f ca="1">IF(OR(NOT(ISNUMBER(Z$5)),N(Plano!$G23)=0,N(Plano!$K23)=0),"",IF(Plano!$K23+Plano!$G23*MAX(0,ROUNDUP((Z$5-Plano!$K23)/Plano!$G23,0))&lt;=IF(DAY(Z$5)&gt;=29,EOMONTH(Z$5,0),Z$5+6),"●",""))</f>
        <v/>
      </c>
      <c r="AA26" s="53" t="str">
        <f ca="1">IF(OR(NOT(ISNUMBER(AA$5)),N(Plano!$G23)=0,N(Plano!$K23)=0),"",IF(Plano!$K23+Plano!$G23*MAX(0,ROUNDUP((AA$5-Plano!$K23)/Plano!$G23,0))&lt;=IF(DAY(AA$5)&gt;=29,EOMONTH(AA$5,0),AA$5+6),"●",""))</f>
        <v/>
      </c>
      <c r="AB26" s="53" t="str">
        <f ca="1">IF(OR(NOT(ISNUMBER(AB$5)),N(Plano!$G23)=0,N(Plano!$K23)=0),"",IF(Plano!$K23+Plano!$G23*MAX(0,ROUNDUP((AB$5-Plano!$K23)/Plano!$G23,0))&lt;=IF(DAY(AB$5)&gt;=29,EOMONTH(AB$5,0),AB$5+6),"●",""))</f>
        <v/>
      </c>
      <c r="AC26" s="53" t="str">
        <f ca="1">IF(OR(NOT(ISNUMBER(AC$5)),N(Plano!$G23)=0,N(Plano!$K23)=0),"",IF(Plano!$K23+Plano!$G23*MAX(0,ROUNDUP((AC$5-Plano!$K23)/Plano!$G23,0))&lt;=IF(DAY(AC$5)&gt;=29,EOMONTH(AC$5,0),AC$5+6),"●",""))</f>
        <v/>
      </c>
      <c r="AD26" s="53" t="str">
        <f ca="1">IF(OR(NOT(ISNUMBER(AD$5)),N(Plano!$G23)=0,N(Plano!$K23)=0),"",IF(Plano!$K23+Plano!$G23*MAX(0,ROUNDUP((AD$5-Plano!$K23)/Plano!$G23,0))&lt;=IF(DAY(AD$5)&gt;=29,EOMONTH(AD$5,0),AD$5+6),"●",""))</f>
        <v/>
      </c>
      <c r="AE26" s="54" t="str">
        <f ca="1">IF(OR(NOT(ISNUMBER(AE$5)),N(Plano!$G23)=0,N(Plano!$K23)=0),"",IF(Plano!$K23+Plano!$G23*MAX(0,ROUNDUP((AE$5-Plano!$K23)/Plano!$G23,0))&lt;=IF(DAY(AE$5)&gt;=29,EOMONTH(AE$5,0),AE$5+6),"●",""))</f>
        <v/>
      </c>
      <c r="AF26" s="53" t="str">
        <f ca="1">IF(OR(NOT(ISNUMBER(AF$5)),N(Plano!$G23)=0,N(Plano!$K23)=0),"",IF(Plano!$K23+Plano!$G23*MAX(0,ROUNDUP((AF$5-Plano!$K23)/Plano!$G23,0))&lt;=IF(DAY(AF$5)&gt;=29,EOMONTH(AF$5,0),AF$5+6),"●",""))</f>
        <v/>
      </c>
      <c r="AG26" s="53" t="str">
        <f ca="1">IF(OR(NOT(ISNUMBER(AG$5)),N(Plano!$G23)=0,N(Plano!$K23)=0),"",IF(Plano!$K23+Plano!$G23*MAX(0,ROUNDUP((AG$5-Plano!$K23)/Plano!$G23,0))&lt;=IF(DAY(AG$5)&gt;=29,EOMONTH(AG$5,0),AG$5+6),"●",""))</f>
        <v/>
      </c>
      <c r="AH26" s="53" t="str">
        <f ca="1">IF(OR(NOT(ISNUMBER(AH$5)),N(Plano!$G23)=0,N(Plano!$K23)=0),"",IF(Plano!$K23+Plano!$G23*MAX(0,ROUNDUP((AH$5-Plano!$K23)/Plano!$G23,0))&lt;=IF(DAY(AH$5)&gt;=29,EOMONTH(AH$5,0),AH$5+6),"●",""))</f>
        <v/>
      </c>
      <c r="AI26" s="53" t="str">
        <f ca="1">IF(OR(NOT(ISNUMBER(AI$5)),N(Plano!$G23)=0,N(Plano!$K23)=0),"",IF(Plano!$K23+Plano!$G23*MAX(0,ROUNDUP((AI$5-Plano!$K23)/Plano!$G23,0))&lt;=IF(DAY(AI$5)&gt;=29,EOMONTH(AI$5,0),AI$5+6),"●",""))</f>
        <v/>
      </c>
      <c r="AJ26" s="54" t="str">
        <f ca="1">IF(OR(NOT(ISNUMBER(AJ$5)),N(Plano!$G23)=0,N(Plano!$K23)=0),"",IF(Plano!$K23+Plano!$G23*MAX(0,ROUNDUP((AJ$5-Plano!$K23)/Plano!$G23,0))&lt;=IF(DAY(AJ$5)&gt;=29,EOMONTH(AJ$5,0),AJ$5+6),"●",""))</f>
        <v/>
      </c>
      <c r="AK26" s="53" t="str">
        <f ca="1">IF(OR(NOT(ISNUMBER(AK$5)),N(Plano!$G23)=0,N(Plano!$K23)=0),"",IF(Plano!$K23+Plano!$G23*MAX(0,ROUNDUP((AK$5-Plano!$K23)/Plano!$G23,0))&lt;=IF(DAY(AK$5)&gt;=29,EOMONTH(AK$5,0),AK$5+6),"●",""))</f>
        <v/>
      </c>
      <c r="AL26" s="53" t="str">
        <f ca="1">IF(OR(NOT(ISNUMBER(AL$5)),N(Plano!$G23)=0,N(Plano!$K23)=0),"",IF(Plano!$K23+Plano!$G23*MAX(0,ROUNDUP((AL$5-Plano!$K23)/Plano!$G23,0))&lt;=IF(DAY(AL$5)&gt;=29,EOMONTH(AL$5,0),AL$5+6),"●",""))</f>
        <v/>
      </c>
      <c r="AM26" s="53" t="str">
        <f ca="1">IF(OR(NOT(ISNUMBER(AM$5)),N(Plano!$G23)=0,N(Plano!$K23)=0),"",IF(Plano!$K23+Plano!$G23*MAX(0,ROUNDUP((AM$5-Plano!$K23)/Plano!$G23,0))&lt;=IF(DAY(AM$5)&gt;=29,EOMONTH(AM$5,0),AM$5+6),"●",""))</f>
        <v/>
      </c>
      <c r="AN26" s="53" t="str">
        <f ca="1">IF(OR(NOT(ISNUMBER(AN$5)),N(Plano!$G23)=0,N(Plano!$K23)=0),"",IF(Plano!$K23+Plano!$G23*MAX(0,ROUNDUP((AN$5-Plano!$K23)/Plano!$G23,0))&lt;=IF(DAY(AN$5)&gt;=29,EOMONTH(AN$5,0),AN$5+6),"●",""))</f>
        <v/>
      </c>
      <c r="AO26" s="54" t="str">
        <f ca="1">IF(OR(NOT(ISNUMBER(AO$5)),N(Plano!$G23)=0,N(Plano!$K23)=0),"",IF(Plano!$K23+Plano!$G23*MAX(0,ROUNDUP((AO$5-Plano!$K23)/Plano!$G23,0))&lt;=IF(DAY(AO$5)&gt;=29,EOMONTH(AO$5,0),AO$5+6),"●",""))</f>
        <v/>
      </c>
      <c r="AP26" s="53" t="str">
        <f ca="1">IF(OR(NOT(ISNUMBER(AP$5)),N(Plano!$G23)=0,N(Plano!$K23)=0),"",IF(Plano!$K23+Plano!$G23*MAX(0,ROUNDUP((AP$5-Plano!$K23)/Plano!$G23,0))&lt;=IF(DAY(AP$5)&gt;=29,EOMONTH(AP$5,0),AP$5+6),"●",""))</f>
        <v/>
      </c>
      <c r="AQ26" s="53" t="str">
        <f ca="1">IF(OR(NOT(ISNUMBER(AQ$5)),N(Plano!$G23)=0,N(Plano!$K23)=0),"",IF(Plano!$K23+Plano!$G23*MAX(0,ROUNDUP((AQ$5-Plano!$K23)/Plano!$G23,0))&lt;=IF(DAY(AQ$5)&gt;=29,EOMONTH(AQ$5,0),AQ$5+6),"●",""))</f>
        <v/>
      </c>
      <c r="AR26" s="53" t="str">
        <f ca="1">IF(OR(NOT(ISNUMBER(AR$5)),N(Plano!$G23)=0,N(Plano!$K23)=0),"",IF(Plano!$K23+Plano!$G23*MAX(0,ROUNDUP((AR$5-Plano!$K23)/Plano!$G23,0))&lt;=IF(DAY(AR$5)&gt;=29,EOMONTH(AR$5,0),AR$5+6),"●",""))</f>
        <v/>
      </c>
      <c r="AS26" s="53" t="str">
        <f ca="1">IF(OR(NOT(ISNUMBER(AS$5)),N(Plano!$G23)=0,N(Plano!$K23)=0),"",IF(Plano!$K23+Plano!$G23*MAX(0,ROUNDUP((AS$5-Plano!$K23)/Plano!$G23,0))&lt;=IF(DAY(AS$5)&gt;=29,EOMONTH(AS$5,0),AS$5+6),"●",""))</f>
        <v/>
      </c>
      <c r="AT26" s="54" t="str">
        <f ca="1">IF(OR(NOT(ISNUMBER(AT$5)),N(Plano!$G23)=0,N(Plano!$K23)=0),"",IF(Plano!$K23+Plano!$G23*MAX(0,ROUNDUP((AT$5-Plano!$K23)/Plano!$G23,0))&lt;=IF(DAY(AT$5)&gt;=29,EOMONTH(AT$5,0),AT$5+6),"●",""))</f>
        <v/>
      </c>
      <c r="AU26" s="53" t="str">
        <f ca="1">IF(OR(NOT(ISNUMBER(AU$5)),N(Plano!$G23)=0,N(Plano!$K23)=0),"",IF(Plano!$K23+Plano!$G23*MAX(0,ROUNDUP((AU$5-Plano!$K23)/Plano!$G23,0))&lt;=IF(DAY(AU$5)&gt;=29,EOMONTH(AU$5,0),AU$5+6),"●",""))</f>
        <v/>
      </c>
      <c r="AV26" s="53" t="str">
        <f ca="1">IF(OR(NOT(ISNUMBER(AV$5)),N(Plano!$G23)=0,N(Plano!$K23)=0),"",IF(Plano!$K23+Plano!$G23*MAX(0,ROUNDUP((AV$5-Plano!$K23)/Plano!$G23,0))&lt;=IF(DAY(AV$5)&gt;=29,EOMONTH(AV$5,0),AV$5+6),"●",""))</f>
        <v/>
      </c>
      <c r="AW26" s="53" t="str">
        <f ca="1">IF(OR(NOT(ISNUMBER(AW$5)),N(Plano!$G23)=0,N(Plano!$K23)=0),"",IF(Plano!$K23+Plano!$G23*MAX(0,ROUNDUP((AW$5-Plano!$K23)/Plano!$G23,0))&lt;=IF(DAY(AW$5)&gt;=29,EOMONTH(AW$5,0),AW$5+6),"●",""))</f>
        <v/>
      </c>
      <c r="AX26" s="53" t="str">
        <f ca="1">IF(OR(NOT(ISNUMBER(AX$5)),N(Plano!$G23)=0,N(Plano!$K23)=0),"",IF(Plano!$K23+Plano!$G23*MAX(0,ROUNDUP((AX$5-Plano!$K23)/Plano!$G23,0))&lt;=IF(DAY(AX$5)&gt;=29,EOMONTH(AX$5,0),AX$5+6),"●",""))</f>
        <v/>
      </c>
      <c r="AY26" s="54" t="str">
        <f ca="1">IF(OR(NOT(ISNUMBER(AY$5)),N(Plano!$G23)=0,N(Plano!$K23)=0),"",IF(Plano!$K23+Plano!$G23*MAX(0,ROUNDUP((AY$5-Plano!$K23)/Plano!$G23,0))&lt;=IF(DAY(AY$5)&gt;=29,EOMONTH(AY$5,0),AY$5+6),"●",""))</f>
        <v/>
      </c>
      <c r="AZ26" s="53" t="str">
        <f ca="1">IF(OR(NOT(ISNUMBER(AZ$5)),N(Plano!$G23)=0,N(Plano!$K23)=0),"",IF(Plano!$K23+Plano!$G23*MAX(0,ROUNDUP((AZ$5-Plano!$K23)/Plano!$G23,0))&lt;=IF(DAY(AZ$5)&gt;=29,EOMONTH(AZ$5,0),AZ$5+6),"●",""))</f>
        <v/>
      </c>
      <c r="BA26" s="53" t="str">
        <f ca="1">IF(OR(NOT(ISNUMBER(BA$5)),N(Plano!$G23)=0,N(Plano!$K23)=0),"",IF(Plano!$K23+Plano!$G23*MAX(0,ROUNDUP((BA$5-Plano!$K23)/Plano!$G23,0))&lt;=IF(DAY(BA$5)&gt;=29,EOMONTH(BA$5,0),BA$5+6),"●",""))</f>
        <v/>
      </c>
      <c r="BB26" s="53" t="str">
        <f ca="1">IF(OR(NOT(ISNUMBER(BB$5)),N(Plano!$G23)=0,N(Plano!$K23)=0),"",IF(Plano!$K23+Plano!$G23*MAX(0,ROUNDUP((BB$5-Plano!$K23)/Plano!$G23,0))&lt;=IF(DAY(BB$5)&gt;=29,EOMONTH(BB$5,0),BB$5+6),"●",""))</f>
        <v/>
      </c>
      <c r="BC26" s="53" t="str">
        <f ca="1">IF(OR(NOT(ISNUMBER(BC$5)),N(Plano!$G23)=0,N(Plano!$K23)=0),"",IF(Plano!$K23+Plano!$G23*MAX(0,ROUNDUP((BC$5-Plano!$K23)/Plano!$G23,0))&lt;=IF(DAY(BC$5)&gt;=29,EOMONTH(BC$5,0),BC$5+6),"●",""))</f>
        <v/>
      </c>
      <c r="BD26" s="54" t="str">
        <f ca="1">IF(OR(NOT(ISNUMBER(BD$5)),N(Plano!$G23)=0,N(Plano!$K23)=0),"",IF(Plano!$K23+Plano!$G23*MAX(0,ROUNDUP((BD$5-Plano!$K23)/Plano!$G23,0))&lt;=IF(DAY(BD$5)&gt;=29,EOMONTH(BD$5,0),BD$5+6),"●",""))</f>
        <v/>
      </c>
      <c r="BE26" s="53" t="str">
        <f ca="1">IF(OR(NOT(ISNUMBER(BE$5)),N(Plano!$G23)=0,N(Plano!$K23)=0),"",IF(Plano!$K23+Plano!$G23*MAX(0,ROUNDUP((BE$5-Plano!$K23)/Plano!$G23,0))&lt;=IF(DAY(BE$5)&gt;=29,EOMONTH(BE$5,0),BE$5+6),"●",""))</f>
        <v/>
      </c>
      <c r="BF26" s="53" t="str">
        <f ca="1">IF(OR(NOT(ISNUMBER(BF$5)),N(Plano!$G23)=0,N(Plano!$K23)=0),"",IF(Plano!$K23+Plano!$G23*MAX(0,ROUNDUP((BF$5-Plano!$K23)/Plano!$G23,0))&lt;=IF(DAY(BF$5)&gt;=29,EOMONTH(BF$5,0),BF$5+6),"●",""))</f>
        <v/>
      </c>
      <c r="BG26" s="53" t="str">
        <f ca="1">IF(OR(NOT(ISNUMBER(BG$5)),N(Plano!$G23)=0,N(Plano!$K23)=0),"",IF(Plano!$K23+Plano!$G23*MAX(0,ROUNDUP((BG$5-Plano!$K23)/Plano!$G23,0))&lt;=IF(DAY(BG$5)&gt;=29,EOMONTH(BG$5,0),BG$5+6),"●",""))</f>
        <v/>
      </c>
      <c r="BH26" s="53" t="str">
        <f ca="1">IF(OR(NOT(ISNUMBER(BH$5)),N(Plano!$G23)=0,N(Plano!$K23)=0),"",IF(Plano!$K23+Plano!$G23*MAX(0,ROUNDUP((BH$5-Plano!$K23)/Plano!$G23,0))&lt;=IF(DAY(BH$5)&gt;=29,EOMONTH(BH$5,0),BH$5+6),"●",""))</f>
        <v/>
      </c>
      <c r="BI26" s="54" t="str">
        <f ca="1">IF(OR(NOT(ISNUMBER(BI$5)),N(Plano!$G23)=0,N(Plano!$K23)=0),"",IF(Plano!$K23+Plano!$G23*MAX(0,ROUNDUP((BI$5-Plano!$K23)/Plano!$G23,0))&lt;=IF(DAY(BI$5)&gt;=29,EOMONTH(BI$5,0),BI$5+6),"●",""))</f>
        <v/>
      </c>
      <c r="BJ26" s="53" t="str">
        <f ca="1">IF(OR(NOT(ISNUMBER(BJ$5)),N(Plano!$G23)=0,N(Plano!$K23)=0),"",IF(Plano!$K23+Plano!$G23*MAX(0,ROUNDUP((BJ$5-Plano!$K23)/Plano!$G23,0))&lt;=IF(DAY(BJ$5)&gt;=29,EOMONTH(BJ$5,0),BJ$5+6),"●",""))</f>
        <v/>
      </c>
      <c r="BK26" s="53" t="str">
        <f ca="1">IF(OR(NOT(ISNUMBER(BK$5)),N(Plano!$G23)=0,N(Plano!$K23)=0),"",IF(Plano!$K23+Plano!$G23*MAX(0,ROUNDUP((BK$5-Plano!$K23)/Plano!$G23,0))&lt;=IF(DAY(BK$5)&gt;=29,EOMONTH(BK$5,0),BK$5+6),"●",""))</f>
        <v/>
      </c>
      <c r="BL26" s="53" t="str">
        <f ca="1">IF(OR(NOT(ISNUMBER(BL$5)),N(Plano!$G23)=0,N(Plano!$K23)=0),"",IF(Plano!$K23+Plano!$G23*MAX(0,ROUNDUP((BL$5-Plano!$K23)/Plano!$G23,0))&lt;=IF(DAY(BL$5)&gt;=29,EOMONTH(BL$5,0),BL$5+6),"●",""))</f>
        <v/>
      </c>
      <c r="BM26" s="55" t="str">
        <f ca="1">IF(OR(NOT(ISNUMBER(BM$5)),N(Plano!$G23)=0,N(Plano!$K23)=0),"",IF(Plano!$K23+Plano!$G23*MAX(0,ROUNDUP((BM$5-Plano!$K23)/Plano!$G23,0))&lt;=IF(DAY(BM$5)&gt;=29,EOMONTH(BM$5,0),BM$5+6),"●",""))</f>
        <v/>
      </c>
    </row>
    <row r="27" spans="1:65" ht="18" customHeight="1">
      <c r="A27" s="40">
        <f>Plano!A24</f>
        <v>19</v>
      </c>
      <c r="B27" s="51" t="str">
        <f>IF(Plano!B24="","",Plano!B24)</f>
        <v/>
      </c>
      <c r="C27" s="20" t="str">
        <f>IF(B27="","",IFERROR(INDEX(tb_pcm_ativos[descricao_ativo],MATCH(B27,tb_pcm_ativos[tag],0)),"fora do cadastro"))</f>
        <v/>
      </c>
      <c r="D27" s="20" t="str">
        <f>IF(Plano!E24="","",Plano!E24)</f>
        <v/>
      </c>
      <c r="E27" s="52" t="str">
        <f>IF(Plano!G24="","",Plano!G24)</f>
        <v/>
      </c>
      <c r="F27" s="53" t="str">
        <f ca="1">IF(OR(NOT(ISNUMBER(F$5)),N(Plano!$G24)=0,N(Plano!$K24)=0),"",IF(Plano!$K24+Plano!$G24*MAX(0,ROUNDUP((F$5-Plano!$K24)/Plano!$G24,0))&lt;=IF(DAY(F$5)&gt;=29,EOMONTH(F$5,0),F$5+6),"●",""))</f>
        <v/>
      </c>
      <c r="G27" s="53" t="str">
        <f ca="1">IF(OR(NOT(ISNUMBER(G$5)),N(Plano!$G24)=0,N(Plano!$K24)=0),"",IF(Plano!$K24+Plano!$G24*MAX(0,ROUNDUP((G$5-Plano!$K24)/Plano!$G24,0))&lt;=IF(DAY(G$5)&gt;=29,EOMONTH(G$5,0),G$5+6),"●",""))</f>
        <v/>
      </c>
      <c r="H27" s="53" t="str">
        <f ca="1">IF(OR(NOT(ISNUMBER(H$5)),N(Plano!$G24)=0,N(Plano!$K24)=0),"",IF(Plano!$K24+Plano!$G24*MAX(0,ROUNDUP((H$5-Plano!$K24)/Plano!$G24,0))&lt;=IF(DAY(H$5)&gt;=29,EOMONTH(H$5,0),H$5+6),"●",""))</f>
        <v/>
      </c>
      <c r="I27" s="53" t="str">
        <f ca="1">IF(OR(NOT(ISNUMBER(I$5)),N(Plano!$G24)=0,N(Plano!$K24)=0),"",IF(Plano!$K24+Plano!$G24*MAX(0,ROUNDUP((I$5-Plano!$K24)/Plano!$G24,0))&lt;=IF(DAY(I$5)&gt;=29,EOMONTH(I$5,0),I$5+6),"●",""))</f>
        <v/>
      </c>
      <c r="J27" s="53" t="str">
        <f ca="1">IF(OR(NOT(ISNUMBER(J$5)),N(Plano!$G24)=0,N(Plano!$K24)=0),"",IF(Plano!$K24+Plano!$G24*MAX(0,ROUNDUP((J$5-Plano!$K24)/Plano!$G24,0))&lt;=IF(DAY(J$5)&gt;=29,EOMONTH(J$5,0),J$5+6),"●",""))</f>
        <v/>
      </c>
      <c r="K27" s="54" t="str">
        <f ca="1">IF(OR(NOT(ISNUMBER(K$5)),N(Plano!$G24)=0,N(Plano!$K24)=0),"",IF(Plano!$K24+Plano!$G24*MAX(0,ROUNDUP((K$5-Plano!$K24)/Plano!$G24,0))&lt;=IF(DAY(K$5)&gt;=29,EOMONTH(K$5,0),K$5+6),"●",""))</f>
        <v/>
      </c>
      <c r="L27" s="53" t="str">
        <f ca="1">IF(OR(NOT(ISNUMBER(L$5)),N(Plano!$G24)=0,N(Plano!$K24)=0),"",IF(Plano!$K24+Plano!$G24*MAX(0,ROUNDUP((L$5-Plano!$K24)/Plano!$G24,0))&lt;=IF(DAY(L$5)&gt;=29,EOMONTH(L$5,0),L$5+6),"●",""))</f>
        <v/>
      </c>
      <c r="M27" s="53" t="str">
        <f ca="1">IF(OR(NOT(ISNUMBER(M$5)),N(Plano!$G24)=0,N(Plano!$K24)=0),"",IF(Plano!$K24+Plano!$G24*MAX(0,ROUNDUP((M$5-Plano!$K24)/Plano!$G24,0))&lt;=IF(DAY(M$5)&gt;=29,EOMONTH(M$5,0),M$5+6),"●",""))</f>
        <v/>
      </c>
      <c r="N27" s="53" t="str">
        <f ca="1">IF(OR(NOT(ISNUMBER(N$5)),N(Plano!$G24)=0,N(Plano!$K24)=0),"",IF(Plano!$K24+Plano!$G24*MAX(0,ROUNDUP((N$5-Plano!$K24)/Plano!$G24,0))&lt;=IF(DAY(N$5)&gt;=29,EOMONTH(N$5,0),N$5+6),"●",""))</f>
        <v/>
      </c>
      <c r="O27" s="53" t="str">
        <f ca="1">IF(OR(NOT(ISNUMBER(O$5)),N(Plano!$G24)=0,N(Plano!$K24)=0),"",IF(Plano!$K24+Plano!$G24*MAX(0,ROUNDUP((O$5-Plano!$K24)/Plano!$G24,0))&lt;=IF(DAY(O$5)&gt;=29,EOMONTH(O$5,0),O$5+6),"●",""))</f>
        <v/>
      </c>
      <c r="P27" s="54" t="str">
        <f ca="1">IF(OR(NOT(ISNUMBER(P$5)),N(Plano!$G24)=0,N(Plano!$K24)=0),"",IF(Plano!$K24+Plano!$G24*MAX(0,ROUNDUP((P$5-Plano!$K24)/Plano!$G24,0))&lt;=IF(DAY(P$5)&gt;=29,EOMONTH(P$5,0),P$5+6),"●",""))</f>
        <v/>
      </c>
      <c r="Q27" s="53" t="str">
        <f ca="1">IF(OR(NOT(ISNUMBER(Q$5)),N(Plano!$G24)=0,N(Plano!$K24)=0),"",IF(Plano!$K24+Plano!$G24*MAX(0,ROUNDUP((Q$5-Plano!$K24)/Plano!$G24,0))&lt;=IF(DAY(Q$5)&gt;=29,EOMONTH(Q$5,0),Q$5+6),"●",""))</f>
        <v/>
      </c>
      <c r="R27" s="53" t="str">
        <f ca="1">IF(OR(NOT(ISNUMBER(R$5)),N(Plano!$G24)=0,N(Plano!$K24)=0),"",IF(Plano!$K24+Plano!$G24*MAX(0,ROUNDUP((R$5-Plano!$K24)/Plano!$G24,0))&lt;=IF(DAY(R$5)&gt;=29,EOMONTH(R$5,0),R$5+6),"●",""))</f>
        <v/>
      </c>
      <c r="S27" s="53" t="str">
        <f ca="1">IF(OR(NOT(ISNUMBER(S$5)),N(Plano!$G24)=0,N(Plano!$K24)=0),"",IF(Plano!$K24+Plano!$G24*MAX(0,ROUNDUP((S$5-Plano!$K24)/Plano!$G24,0))&lt;=IF(DAY(S$5)&gt;=29,EOMONTH(S$5,0),S$5+6),"●",""))</f>
        <v/>
      </c>
      <c r="T27" s="53" t="str">
        <f ca="1">IF(OR(NOT(ISNUMBER(T$5)),N(Plano!$G24)=0,N(Plano!$K24)=0),"",IF(Plano!$K24+Plano!$G24*MAX(0,ROUNDUP((T$5-Plano!$K24)/Plano!$G24,0))&lt;=IF(DAY(T$5)&gt;=29,EOMONTH(T$5,0),T$5+6),"●",""))</f>
        <v/>
      </c>
      <c r="U27" s="54" t="str">
        <f ca="1">IF(OR(NOT(ISNUMBER(U$5)),N(Plano!$G24)=0,N(Plano!$K24)=0),"",IF(Plano!$K24+Plano!$G24*MAX(0,ROUNDUP((U$5-Plano!$K24)/Plano!$G24,0))&lt;=IF(DAY(U$5)&gt;=29,EOMONTH(U$5,0),U$5+6),"●",""))</f>
        <v/>
      </c>
      <c r="V27" s="53" t="str">
        <f ca="1">IF(OR(NOT(ISNUMBER(V$5)),N(Plano!$G24)=0,N(Plano!$K24)=0),"",IF(Plano!$K24+Plano!$G24*MAX(0,ROUNDUP((V$5-Plano!$K24)/Plano!$G24,0))&lt;=IF(DAY(V$5)&gt;=29,EOMONTH(V$5,0),V$5+6),"●",""))</f>
        <v/>
      </c>
      <c r="W27" s="53" t="str">
        <f ca="1">IF(OR(NOT(ISNUMBER(W$5)),N(Plano!$G24)=0,N(Plano!$K24)=0),"",IF(Plano!$K24+Plano!$G24*MAX(0,ROUNDUP((W$5-Plano!$K24)/Plano!$G24,0))&lt;=IF(DAY(W$5)&gt;=29,EOMONTH(W$5,0),W$5+6),"●",""))</f>
        <v/>
      </c>
      <c r="X27" s="53" t="str">
        <f ca="1">IF(OR(NOT(ISNUMBER(X$5)),N(Plano!$G24)=0,N(Plano!$K24)=0),"",IF(Plano!$K24+Plano!$G24*MAX(0,ROUNDUP((X$5-Plano!$K24)/Plano!$G24,0))&lt;=IF(DAY(X$5)&gt;=29,EOMONTH(X$5,0),X$5+6),"●",""))</f>
        <v/>
      </c>
      <c r="Y27" s="53" t="str">
        <f ca="1">IF(OR(NOT(ISNUMBER(Y$5)),N(Plano!$G24)=0,N(Plano!$K24)=0),"",IF(Plano!$K24+Plano!$G24*MAX(0,ROUNDUP((Y$5-Plano!$K24)/Plano!$G24,0))&lt;=IF(DAY(Y$5)&gt;=29,EOMONTH(Y$5,0),Y$5+6),"●",""))</f>
        <v/>
      </c>
      <c r="Z27" s="54" t="str">
        <f ca="1">IF(OR(NOT(ISNUMBER(Z$5)),N(Plano!$G24)=0,N(Plano!$K24)=0),"",IF(Plano!$K24+Plano!$G24*MAX(0,ROUNDUP((Z$5-Plano!$K24)/Plano!$G24,0))&lt;=IF(DAY(Z$5)&gt;=29,EOMONTH(Z$5,0),Z$5+6),"●",""))</f>
        <v/>
      </c>
      <c r="AA27" s="53" t="str">
        <f ca="1">IF(OR(NOT(ISNUMBER(AA$5)),N(Plano!$G24)=0,N(Plano!$K24)=0),"",IF(Plano!$K24+Plano!$G24*MAX(0,ROUNDUP((AA$5-Plano!$K24)/Plano!$G24,0))&lt;=IF(DAY(AA$5)&gt;=29,EOMONTH(AA$5,0),AA$5+6),"●",""))</f>
        <v/>
      </c>
      <c r="AB27" s="53" t="str">
        <f ca="1">IF(OR(NOT(ISNUMBER(AB$5)),N(Plano!$G24)=0,N(Plano!$K24)=0),"",IF(Plano!$K24+Plano!$G24*MAX(0,ROUNDUP((AB$5-Plano!$K24)/Plano!$G24,0))&lt;=IF(DAY(AB$5)&gt;=29,EOMONTH(AB$5,0),AB$5+6),"●",""))</f>
        <v/>
      </c>
      <c r="AC27" s="53" t="str">
        <f ca="1">IF(OR(NOT(ISNUMBER(AC$5)),N(Plano!$G24)=0,N(Plano!$K24)=0),"",IF(Plano!$K24+Plano!$G24*MAX(0,ROUNDUP((AC$5-Plano!$K24)/Plano!$G24,0))&lt;=IF(DAY(AC$5)&gt;=29,EOMONTH(AC$5,0),AC$5+6),"●",""))</f>
        <v/>
      </c>
      <c r="AD27" s="53" t="str">
        <f ca="1">IF(OR(NOT(ISNUMBER(AD$5)),N(Plano!$G24)=0,N(Plano!$K24)=0),"",IF(Plano!$K24+Plano!$G24*MAX(0,ROUNDUP((AD$5-Plano!$K24)/Plano!$G24,0))&lt;=IF(DAY(AD$5)&gt;=29,EOMONTH(AD$5,0),AD$5+6),"●",""))</f>
        <v/>
      </c>
      <c r="AE27" s="54" t="str">
        <f ca="1">IF(OR(NOT(ISNUMBER(AE$5)),N(Plano!$G24)=0,N(Plano!$K24)=0),"",IF(Plano!$K24+Plano!$G24*MAX(0,ROUNDUP((AE$5-Plano!$K24)/Plano!$G24,0))&lt;=IF(DAY(AE$5)&gt;=29,EOMONTH(AE$5,0),AE$5+6),"●",""))</f>
        <v/>
      </c>
      <c r="AF27" s="53" t="str">
        <f ca="1">IF(OR(NOT(ISNUMBER(AF$5)),N(Plano!$G24)=0,N(Plano!$K24)=0),"",IF(Plano!$K24+Plano!$G24*MAX(0,ROUNDUP((AF$5-Plano!$K24)/Plano!$G24,0))&lt;=IF(DAY(AF$5)&gt;=29,EOMONTH(AF$5,0),AF$5+6),"●",""))</f>
        <v/>
      </c>
      <c r="AG27" s="53" t="str">
        <f ca="1">IF(OR(NOT(ISNUMBER(AG$5)),N(Plano!$G24)=0,N(Plano!$K24)=0),"",IF(Plano!$K24+Plano!$G24*MAX(0,ROUNDUP((AG$5-Plano!$K24)/Plano!$G24,0))&lt;=IF(DAY(AG$5)&gt;=29,EOMONTH(AG$5,0),AG$5+6),"●",""))</f>
        <v/>
      </c>
      <c r="AH27" s="53" t="str">
        <f ca="1">IF(OR(NOT(ISNUMBER(AH$5)),N(Plano!$G24)=0,N(Plano!$K24)=0),"",IF(Plano!$K24+Plano!$G24*MAX(0,ROUNDUP((AH$5-Plano!$K24)/Plano!$G24,0))&lt;=IF(DAY(AH$5)&gt;=29,EOMONTH(AH$5,0),AH$5+6),"●",""))</f>
        <v/>
      </c>
      <c r="AI27" s="53" t="str">
        <f ca="1">IF(OR(NOT(ISNUMBER(AI$5)),N(Plano!$G24)=0,N(Plano!$K24)=0),"",IF(Plano!$K24+Plano!$G24*MAX(0,ROUNDUP((AI$5-Plano!$K24)/Plano!$G24,0))&lt;=IF(DAY(AI$5)&gt;=29,EOMONTH(AI$5,0),AI$5+6),"●",""))</f>
        <v/>
      </c>
      <c r="AJ27" s="54" t="str">
        <f ca="1">IF(OR(NOT(ISNUMBER(AJ$5)),N(Plano!$G24)=0,N(Plano!$K24)=0),"",IF(Plano!$K24+Plano!$G24*MAX(0,ROUNDUP((AJ$5-Plano!$K24)/Plano!$G24,0))&lt;=IF(DAY(AJ$5)&gt;=29,EOMONTH(AJ$5,0),AJ$5+6),"●",""))</f>
        <v/>
      </c>
      <c r="AK27" s="53" t="str">
        <f ca="1">IF(OR(NOT(ISNUMBER(AK$5)),N(Plano!$G24)=0,N(Plano!$K24)=0),"",IF(Plano!$K24+Plano!$G24*MAX(0,ROUNDUP((AK$5-Plano!$K24)/Plano!$G24,0))&lt;=IF(DAY(AK$5)&gt;=29,EOMONTH(AK$5,0),AK$5+6),"●",""))</f>
        <v/>
      </c>
      <c r="AL27" s="53" t="str">
        <f ca="1">IF(OR(NOT(ISNUMBER(AL$5)),N(Plano!$G24)=0,N(Plano!$K24)=0),"",IF(Plano!$K24+Plano!$G24*MAX(0,ROUNDUP((AL$5-Plano!$K24)/Plano!$G24,0))&lt;=IF(DAY(AL$5)&gt;=29,EOMONTH(AL$5,0),AL$5+6),"●",""))</f>
        <v/>
      </c>
      <c r="AM27" s="53" t="str">
        <f ca="1">IF(OR(NOT(ISNUMBER(AM$5)),N(Plano!$G24)=0,N(Plano!$K24)=0),"",IF(Plano!$K24+Plano!$G24*MAX(0,ROUNDUP((AM$5-Plano!$K24)/Plano!$G24,0))&lt;=IF(DAY(AM$5)&gt;=29,EOMONTH(AM$5,0),AM$5+6),"●",""))</f>
        <v/>
      </c>
      <c r="AN27" s="53" t="str">
        <f ca="1">IF(OR(NOT(ISNUMBER(AN$5)),N(Plano!$G24)=0,N(Plano!$K24)=0),"",IF(Plano!$K24+Plano!$G24*MAX(0,ROUNDUP((AN$5-Plano!$K24)/Plano!$G24,0))&lt;=IF(DAY(AN$5)&gt;=29,EOMONTH(AN$5,0),AN$5+6),"●",""))</f>
        <v/>
      </c>
      <c r="AO27" s="54" t="str">
        <f ca="1">IF(OR(NOT(ISNUMBER(AO$5)),N(Plano!$G24)=0,N(Plano!$K24)=0),"",IF(Plano!$K24+Plano!$G24*MAX(0,ROUNDUP((AO$5-Plano!$K24)/Plano!$G24,0))&lt;=IF(DAY(AO$5)&gt;=29,EOMONTH(AO$5,0),AO$5+6),"●",""))</f>
        <v/>
      </c>
      <c r="AP27" s="53" t="str">
        <f ca="1">IF(OR(NOT(ISNUMBER(AP$5)),N(Plano!$G24)=0,N(Plano!$K24)=0),"",IF(Plano!$K24+Plano!$G24*MAX(0,ROUNDUP((AP$5-Plano!$K24)/Plano!$G24,0))&lt;=IF(DAY(AP$5)&gt;=29,EOMONTH(AP$5,0),AP$5+6),"●",""))</f>
        <v/>
      </c>
      <c r="AQ27" s="53" t="str">
        <f ca="1">IF(OR(NOT(ISNUMBER(AQ$5)),N(Plano!$G24)=0,N(Plano!$K24)=0),"",IF(Plano!$K24+Plano!$G24*MAX(0,ROUNDUP((AQ$5-Plano!$K24)/Plano!$G24,0))&lt;=IF(DAY(AQ$5)&gt;=29,EOMONTH(AQ$5,0),AQ$5+6),"●",""))</f>
        <v/>
      </c>
      <c r="AR27" s="53" t="str">
        <f ca="1">IF(OR(NOT(ISNUMBER(AR$5)),N(Plano!$G24)=0,N(Plano!$K24)=0),"",IF(Plano!$K24+Plano!$G24*MAX(0,ROUNDUP((AR$5-Plano!$K24)/Plano!$G24,0))&lt;=IF(DAY(AR$5)&gt;=29,EOMONTH(AR$5,0),AR$5+6),"●",""))</f>
        <v/>
      </c>
      <c r="AS27" s="53" t="str">
        <f ca="1">IF(OR(NOT(ISNUMBER(AS$5)),N(Plano!$G24)=0,N(Plano!$K24)=0),"",IF(Plano!$K24+Plano!$G24*MAX(0,ROUNDUP((AS$5-Plano!$K24)/Plano!$G24,0))&lt;=IF(DAY(AS$5)&gt;=29,EOMONTH(AS$5,0),AS$5+6),"●",""))</f>
        <v/>
      </c>
      <c r="AT27" s="54" t="str">
        <f ca="1">IF(OR(NOT(ISNUMBER(AT$5)),N(Plano!$G24)=0,N(Plano!$K24)=0),"",IF(Plano!$K24+Plano!$G24*MAX(0,ROUNDUP((AT$5-Plano!$K24)/Plano!$G24,0))&lt;=IF(DAY(AT$5)&gt;=29,EOMONTH(AT$5,0),AT$5+6),"●",""))</f>
        <v/>
      </c>
      <c r="AU27" s="53" t="str">
        <f ca="1">IF(OR(NOT(ISNUMBER(AU$5)),N(Plano!$G24)=0,N(Plano!$K24)=0),"",IF(Plano!$K24+Plano!$G24*MAX(0,ROUNDUP((AU$5-Plano!$K24)/Plano!$G24,0))&lt;=IF(DAY(AU$5)&gt;=29,EOMONTH(AU$5,0),AU$5+6),"●",""))</f>
        <v/>
      </c>
      <c r="AV27" s="53" t="str">
        <f ca="1">IF(OR(NOT(ISNUMBER(AV$5)),N(Plano!$G24)=0,N(Plano!$K24)=0),"",IF(Plano!$K24+Plano!$G24*MAX(0,ROUNDUP((AV$5-Plano!$K24)/Plano!$G24,0))&lt;=IF(DAY(AV$5)&gt;=29,EOMONTH(AV$5,0),AV$5+6),"●",""))</f>
        <v/>
      </c>
      <c r="AW27" s="53" t="str">
        <f ca="1">IF(OR(NOT(ISNUMBER(AW$5)),N(Plano!$G24)=0,N(Plano!$K24)=0),"",IF(Plano!$K24+Plano!$G24*MAX(0,ROUNDUP((AW$5-Plano!$K24)/Plano!$G24,0))&lt;=IF(DAY(AW$5)&gt;=29,EOMONTH(AW$5,0),AW$5+6),"●",""))</f>
        <v/>
      </c>
      <c r="AX27" s="53" t="str">
        <f ca="1">IF(OR(NOT(ISNUMBER(AX$5)),N(Plano!$G24)=0,N(Plano!$K24)=0),"",IF(Plano!$K24+Plano!$G24*MAX(0,ROUNDUP((AX$5-Plano!$K24)/Plano!$G24,0))&lt;=IF(DAY(AX$5)&gt;=29,EOMONTH(AX$5,0),AX$5+6),"●",""))</f>
        <v/>
      </c>
      <c r="AY27" s="54" t="str">
        <f ca="1">IF(OR(NOT(ISNUMBER(AY$5)),N(Plano!$G24)=0,N(Plano!$K24)=0),"",IF(Plano!$K24+Plano!$G24*MAX(0,ROUNDUP((AY$5-Plano!$K24)/Plano!$G24,0))&lt;=IF(DAY(AY$5)&gt;=29,EOMONTH(AY$5,0),AY$5+6),"●",""))</f>
        <v/>
      </c>
      <c r="AZ27" s="53" t="str">
        <f ca="1">IF(OR(NOT(ISNUMBER(AZ$5)),N(Plano!$G24)=0,N(Plano!$K24)=0),"",IF(Plano!$K24+Plano!$G24*MAX(0,ROUNDUP((AZ$5-Plano!$K24)/Plano!$G24,0))&lt;=IF(DAY(AZ$5)&gt;=29,EOMONTH(AZ$5,0),AZ$5+6),"●",""))</f>
        <v/>
      </c>
      <c r="BA27" s="53" t="str">
        <f ca="1">IF(OR(NOT(ISNUMBER(BA$5)),N(Plano!$G24)=0,N(Plano!$K24)=0),"",IF(Plano!$K24+Plano!$G24*MAX(0,ROUNDUP((BA$5-Plano!$K24)/Plano!$G24,0))&lt;=IF(DAY(BA$5)&gt;=29,EOMONTH(BA$5,0),BA$5+6),"●",""))</f>
        <v/>
      </c>
      <c r="BB27" s="53" t="str">
        <f ca="1">IF(OR(NOT(ISNUMBER(BB$5)),N(Plano!$G24)=0,N(Plano!$K24)=0),"",IF(Plano!$K24+Plano!$G24*MAX(0,ROUNDUP((BB$5-Plano!$K24)/Plano!$G24,0))&lt;=IF(DAY(BB$5)&gt;=29,EOMONTH(BB$5,0),BB$5+6),"●",""))</f>
        <v/>
      </c>
      <c r="BC27" s="53" t="str">
        <f ca="1">IF(OR(NOT(ISNUMBER(BC$5)),N(Plano!$G24)=0,N(Plano!$K24)=0),"",IF(Plano!$K24+Plano!$G24*MAX(0,ROUNDUP((BC$5-Plano!$K24)/Plano!$G24,0))&lt;=IF(DAY(BC$5)&gt;=29,EOMONTH(BC$5,0),BC$5+6),"●",""))</f>
        <v/>
      </c>
      <c r="BD27" s="54" t="str">
        <f ca="1">IF(OR(NOT(ISNUMBER(BD$5)),N(Plano!$G24)=0,N(Plano!$K24)=0),"",IF(Plano!$K24+Plano!$G24*MAX(0,ROUNDUP((BD$5-Plano!$K24)/Plano!$G24,0))&lt;=IF(DAY(BD$5)&gt;=29,EOMONTH(BD$5,0),BD$5+6),"●",""))</f>
        <v/>
      </c>
      <c r="BE27" s="53" t="str">
        <f ca="1">IF(OR(NOT(ISNUMBER(BE$5)),N(Plano!$G24)=0,N(Plano!$K24)=0),"",IF(Plano!$K24+Plano!$G24*MAX(0,ROUNDUP((BE$5-Plano!$K24)/Plano!$G24,0))&lt;=IF(DAY(BE$5)&gt;=29,EOMONTH(BE$5,0),BE$5+6),"●",""))</f>
        <v/>
      </c>
      <c r="BF27" s="53" t="str">
        <f ca="1">IF(OR(NOT(ISNUMBER(BF$5)),N(Plano!$G24)=0,N(Plano!$K24)=0),"",IF(Plano!$K24+Plano!$G24*MAX(0,ROUNDUP((BF$5-Plano!$K24)/Plano!$G24,0))&lt;=IF(DAY(BF$5)&gt;=29,EOMONTH(BF$5,0),BF$5+6),"●",""))</f>
        <v/>
      </c>
      <c r="BG27" s="53" t="str">
        <f ca="1">IF(OR(NOT(ISNUMBER(BG$5)),N(Plano!$G24)=0,N(Plano!$K24)=0),"",IF(Plano!$K24+Plano!$G24*MAX(0,ROUNDUP((BG$5-Plano!$K24)/Plano!$G24,0))&lt;=IF(DAY(BG$5)&gt;=29,EOMONTH(BG$5,0),BG$5+6),"●",""))</f>
        <v/>
      </c>
      <c r="BH27" s="53" t="str">
        <f ca="1">IF(OR(NOT(ISNUMBER(BH$5)),N(Plano!$G24)=0,N(Plano!$K24)=0),"",IF(Plano!$K24+Plano!$G24*MAX(0,ROUNDUP((BH$5-Plano!$K24)/Plano!$G24,0))&lt;=IF(DAY(BH$5)&gt;=29,EOMONTH(BH$5,0),BH$5+6),"●",""))</f>
        <v/>
      </c>
      <c r="BI27" s="54" t="str">
        <f ca="1">IF(OR(NOT(ISNUMBER(BI$5)),N(Plano!$G24)=0,N(Plano!$K24)=0),"",IF(Plano!$K24+Plano!$G24*MAX(0,ROUNDUP((BI$5-Plano!$K24)/Plano!$G24,0))&lt;=IF(DAY(BI$5)&gt;=29,EOMONTH(BI$5,0),BI$5+6),"●",""))</f>
        <v/>
      </c>
      <c r="BJ27" s="53" t="str">
        <f ca="1">IF(OR(NOT(ISNUMBER(BJ$5)),N(Plano!$G24)=0,N(Plano!$K24)=0),"",IF(Plano!$K24+Plano!$G24*MAX(0,ROUNDUP((BJ$5-Plano!$K24)/Plano!$G24,0))&lt;=IF(DAY(BJ$5)&gt;=29,EOMONTH(BJ$5,0),BJ$5+6),"●",""))</f>
        <v/>
      </c>
      <c r="BK27" s="53" t="str">
        <f ca="1">IF(OR(NOT(ISNUMBER(BK$5)),N(Plano!$G24)=0,N(Plano!$K24)=0),"",IF(Plano!$K24+Plano!$G24*MAX(0,ROUNDUP((BK$5-Plano!$K24)/Plano!$G24,0))&lt;=IF(DAY(BK$5)&gt;=29,EOMONTH(BK$5,0),BK$5+6),"●",""))</f>
        <v/>
      </c>
      <c r="BL27" s="53" t="str">
        <f ca="1">IF(OR(NOT(ISNUMBER(BL$5)),N(Plano!$G24)=0,N(Plano!$K24)=0),"",IF(Plano!$K24+Plano!$G24*MAX(0,ROUNDUP((BL$5-Plano!$K24)/Plano!$G24,0))&lt;=IF(DAY(BL$5)&gt;=29,EOMONTH(BL$5,0),BL$5+6),"●",""))</f>
        <v/>
      </c>
      <c r="BM27" s="55" t="str">
        <f ca="1">IF(OR(NOT(ISNUMBER(BM$5)),N(Plano!$G24)=0,N(Plano!$K24)=0),"",IF(Plano!$K24+Plano!$G24*MAX(0,ROUNDUP((BM$5-Plano!$K24)/Plano!$G24,0))&lt;=IF(DAY(BM$5)&gt;=29,EOMONTH(BM$5,0),BM$5+6),"●",""))</f>
        <v/>
      </c>
    </row>
    <row r="28" spans="1:65" ht="18" customHeight="1">
      <c r="A28" s="40">
        <f>Plano!A25</f>
        <v>20</v>
      </c>
      <c r="B28" s="51" t="str">
        <f>IF(Plano!B25="","",Plano!B25)</f>
        <v/>
      </c>
      <c r="C28" s="20" t="str">
        <f>IF(B28="","",IFERROR(INDEX(tb_pcm_ativos[descricao_ativo],MATCH(B28,tb_pcm_ativos[tag],0)),"fora do cadastro"))</f>
        <v/>
      </c>
      <c r="D28" s="20" t="str">
        <f>IF(Plano!E25="","",Plano!E25)</f>
        <v/>
      </c>
      <c r="E28" s="52" t="str">
        <f>IF(Plano!G25="","",Plano!G25)</f>
        <v/>
      </c>
      <c r="F28" s="53" t="str">
        <f ca="1">IF(OR(NOT(ISNUMBER(F$5)),N(Plano!$G25)=0,N(Plano!$K25)=0),"",IF(Plano!$K25+Plano!$G25*MAX(0,ROUNDUP((F$5-Plano!$K25)/Plano!$G25,0))&lt;=IF(DAY(F$5)&gt;=29,EOMONTH(F$5,0),F$5+6),"●",""))</f>
        <v/>
      </c>
      <c r="G28" s="53" t="str">
        <f ca="1">IF(OR(NOT(ISNUMBER(G$5)),N(Plano!$G25)=0,N(Plano!$K25)=0),"",IF(Plano!$K25+Plano!$G25*MAX(0,ROUNDUP((G$5-Plano!$K25)/Plano!$G25,0))&lt;=IF(DAY(G$5)&gt;=29,EOMONTH(G$5,0),G$5+6),"●",""))</f>
        <v/>
      </c>
      <c r="H28" s="53" t="str">
        <f ca="1">IF(OR(NOT(ISNUMBER(H$5)),N(Plano!$G25)=0,N(Plano!$K25)=0),"",IF(Plano!$K25+Plano!$G25*MAX(0,ROUNDUP((H$5-Plano!$K25)/Plano!$G25,0))&lt;=IF(DAY(H$5)&gt;=29,EOMONTH(H$5,0),H$5+6),"●",""))</f>
        <v/>
      </c>
      <c r="I28" s="53" t="str">
        <f ca="1">IF(OR(NOT(ISNUMBER(I$5)),N(Plano!$G25)=0,N(Plano!$K25)=0),"",IF(Plano!$K25+Plano!$G25*MAX(0,ROUNDUP((I$5-Plano!$K25)/Plano!$G25,0))&lt;=IF(DAY(I$5)&gt;=29,EOMONTH(I$5,0),I$5+6),"●",""))</f>
        <v/>
      </c>
      <c r="J28" s="53" t="str">
        <f ca="1">IF(OR(NOT(ISNUMBER(J$5)),N(Plano!$G25)=0,N(Plano!$K25)=0),"",IF(Plano!$K25+Plano!$G25*MAX(0,ROUNDUP((J$5-Plano!$K25)/Plano!$G25,0))&lt;=IF(DAY(J$5)&gt;=29,EOMONTH(J$5,0),J$5+6),"●",""))</f>
        <v/>
      </c>
      <c r="K28" s="54" t="str">
        <f ca="1">IF(OR(NOT(ISNUMBER(K$5)),N(Plano!$G25)=0,N(Plano!$K25)=0),"",IF(Plano!$K25+Plano!$G25*MAX(0,ROUNDUP((K$5-Plano!$K25)/Plano!$G25,0))&lt;=IF(DAY(K$5)&gt;=29,EOMONTH(K$5,0),K$5+6),"●",""))</f>
        <v/>
      </c>
      <c r="L28" s="53" t="str">
        <f ca="1">IF(OR(NOT(ISNUMBER(L$5)),N(Plano!$G25)=0,N(Plano!$K25)=0),"",IF(Plano!$K25+Plano!$G25*MAX(0,ROUNDUP((L$5-Plano!$K25)/Plano!$G25,0))&lt;=IF(DAY(L$5)&gt;=29,EOMONTH(L$5,0),L$5+6),"●",""))</f>
        <v/>
      </c>
      <c r="M28" s="53" t="str">
        <f ca="1">IF(OR(NOT(ISNUMBER(M$5)),N(Plano!$G25)=0,N(Plano!$K25)=0),"",IF(Plano!$K25+Plano!$G25*MAX(0,ROUNDUP((M$5-Plano!$K25)/Plano!$G25,0))&lt;=IF(DAY(M$5)&gt;=29,EOMONTH(M$5,0),M$5+6),"●",""))</f>
        <v/>
      </c>
      <c r="N28" s="53" t="str">
        <f ca="1">IF(OR(NOT(ISNUMBER(N$5)),N(Plano!$G25)=0,N(Plano!$K25)=0),"",IF(Plano!$K25+Plano!$G25*MAX(0,ROUNDUP((N$5-Plano!$K25)/Plano!$G25,0))&lt;=IF(DAY(N$5)&gt;=29,EOMONTH(N$5,0),N$5+6),"●",""))</f>
        <v/>
      </c>
      <c r="O28" s="53" t="str">
        <f ca="1">IF(OR(NOT(ISNUMBER(O$5)),N(Plano!$G25)=0,N(Plano!$K25)=0),"",IF(Plano!$K25+Plano!$G25*MAX(0,ROUNDUP((O$5-Plano!$K25)/Plano!$G25,0))&lt;=IF(DAY(O$5)&gt;=29,EOMONTH(O$5,0),O$5+6),"●",""))</f>
        <v/>
      </c>
      <c r="P28" s="54" t="str">
        <f ca="1">IF(OR(NOT(ISNUMBER(P$5)),N(Plano!$G25)=0,N(Plano!$K25)=0),"",IF(Plano!$K25+Plano!$G25*MAX(0,ROUNDUP((P$5-Plano!$K25)/Plano!$G25,0))&lt;=IF(DAY(P$5)&gt;=29,EOMONTH(P$5,0),P$5+6),"●",""))</f>
        <v/>
      </c>
      <c r="Q28" s="53" t="str">
        <f ca="1">IF(OR(NOT(ISNUMBER(Q$5)),N(Plano!$G25)=0,N(Plano!$K25)=0),"",IF(Plano!$K25+Plano!$G25*MAX(0,ROUNDUP((Q$5-Plano!$K25)/Plano!$G25,0))&lt;=IF(DAY(Q$5)&gt;=29,EOMONTH(Q$5,0),Q$5+6),"●",""))</f>
        <v/>
      </c>
      <c r="R28" s="53" t="str">
        <f ca="1">IF(OR(NOT(ISNUMBER(R$5)),N(Plano!$G25)=0,N(Plano!$K25)=0),"",IF(Plano!$K25+Plano!$G25*MAX(0,ROUNDUP((R$5-Plano!$K25)/Plano!$G25,0))&lt;=IF(DAY(R$5)&gt;=29,EOMONTH(R$5,0),R$5+6),"●",""))</f>
        <v/>
      </c>
      <c r="S28" s="53" t="str">
        <f ca="1">IF(OR(NOT(ISNUMBER(S$5)),N(Plano!$G25)=0,N(Plano!$K25)=0),"",IF(Plano!$K25+Plano!$G25*MAX(0,ROUNDUP((S$5-Plano!$K25)/Plano!$G25,0))&lt;=IF(DAY(S$5)&gt;=29,EOMONTH(S$5,0),S$5+6),"●",""))</f>
        <v/>
      </c>
      <c r="T28" s="53" t="str">
        <f ca="1">IF(OR(NOT(ISNUMBER(T$5)),N(Plano!$G25)=0,N(Plano!$K25)=0),"",IF(Plano!$K25+Plano!$G25*MAX(0,ROUNDUP((T$5-Plano!$K25)/Plano!$G25,0))&lt;=IF(DAY(T$5)&gt;=29,EOMONTH(T$5,0),T$5+6),"●",""))</f>
        <v/>
      </c>
      <c r="U28" s="54" t="str">
        <f ca="1">IF(OR(NOT(ISNUMBER(U$5)),N(Plano!$G25)=0,N(Plano!$K25)=0),"",IF(Plano!$K25+Plano!$G25*MAX(0,ROUNDUP((U$5-Plano!$K25)/Plano!$G25,0))&lt;=IF(DAY(U$5)&gt;=29,EOMONTH(U$5,0),U$5+6),"●",""))</f>
        <v/>
      </c>
      <c r="V28" s="53" t="str">
        <f ca="1">IF(OR(NOT(ISNUMBER(V$5)),N(Plano!$G25)=0,N(Plano!$K25)=0),"",IF(Plano!$K25+Plano!$G25*MAX(0,ROUNDUP((V$5-Plano!$K25)/Plano!$G25,0))&lt;=IF(DAY(V$5)&gt;=29,EOMONTH(V$5,0),V$5+6),"●",""))</f>
        <v/>
      </c>
      <c r="W28" s="53" t="str">
        <f ca="1">IF(OR(NOT(ISNUMBER(W$5)),N(Plano!$G25)=0,N(Plano!$K25)=0),"",IF(Plano!$K25+Plano!$G25*MAX(0,ROUNDUP((W$5-Plano!$K25)/Plano!$G25,0))&lt;=IF(DAY(W$5)&gt;=29,EOMONTH(W$5,0),W$5+6),"●",""))</f>
        <v/>
      </c>
      <c r="X28" s="53" t="str">
        <f ca="1">IF(OR(NOT(ISNUMBER(X$5)),N(Plano!$G25)=0,N(Plano!$K25)=0),"",IF(Plano!$K25+Plano!$G25*MAX(0,ROUNDUP((X$5-Plano!$K25)/Plano!$G25,0))&lt;=IF(DAY(X$5)&gt;=29,EOMONTH(X$5,0),X$5+6),"●",""))</f>
        <v/>
      </c>
      <c r="Y28" s="53" t="str">
        <f ca="1">IF(OR(NOT(ISNUMBER(Y$5)),N(Plano!$G25)=0,N(Plano!$K25)=0),"",IF(Plano!$K25+Plano!$G25*MAX(0,ROUNDUP((Y$5-Plano!$K25)/Plano!$G25,0))&lt;=IF(DAY(Y$5)&gt;=29,EOMONTH(Y$5,0),Y$5+6),"●",""))</f>
        <v/>
      </c>
      <c r="Z28" s="54" t="str">
        <f ca="1">IF(OR(NOT(ISNUMBER(Z$5)),N(Plano!$G25)=0,N(Plano!$K25)=0),"",IF(Plano!$K25+Plano!$G25*MAX(0,ROUNDUP((Z$5-Plano!$K25)/Plano!$G25,0))&lt;=IF(DAY(Z$5)&gt;=29,EOMONTH(Z$5,0),Z$5+6),"●",""))</f>
        <v/>
      </c>
      <c r="AA28" s="53" t="str">
        <f ca="1">IF(OR(NOT(ISNUMBER(AA$5)),N(Plano!$G25)=0,N(Plano!$K25)=0),"",IF(Plano!$K25+Plano!$G25*MAX(0,ROUNDUP((AA$5-Plano!$K25)/Plano!$G25,0))&lt;=IF(DAY(AA$5)&gt;=29,EOMONTH(AA$5,0),AA$5+6),"●",""))</f>
        <v/>
      </c>
      <c r="AB28" s="53" t="str">
        <f ca="1">IF(OR(NOT(ISNUMBER(AB$5)),N(Plano!$G25)=0,N(Plano!$K25)=0),"",IF(Plano!$K25+Plano!$G25*MAX(0,ROUNDUP((AB$5-Plano!$K25)/Plano!$G25,0))&lt;=IF(DAY(AB$5)&gt;=29,EOMONTH(AB$5,0),AB$5+6),"●",""))</f>
        <v/>
      </c>
      <c r="AC28" s="53" t="str">
        <f ca="1">IF(OR(NOT(ISNUMBER(AC$5)),N(Plano!$G25)=0,N(Plano!$K25)=0),"",IF(Plano!$K25+Plano!$G25*MAX(0,ROUNDUP((AC$5-Plano!$K25)/Plano!$G25,0))&lt;=IF(DAY(AC$5)&gt;=29,EOMONTH(AC$5,0),AC$5+6),"●",""))</f>
        <v/>
      </c>
      <c r="AD28" s="53" t="str">
        <f ca="1">IF(OR(NOT(ISNUMBER(AD$5)),N(Plano!$G25)=0,N(Plano!$K25)=0),"",IF(Plano!$K25+Plano!$G25*MAX(0,ROUNDUP((AD$5-Plano!$K25)/Plano!$G25,0))&lt;=IF(DAY(AD$5)&gt;=29,EOMONTH(AD$5,0),AD$5+6),"●",""))</f>
        <v/>
      </c>
      <c r="AE28" s="54" t="str">
        <f ca="1">IF(OR(NOT(ISNUMBER(AE$5)),N(Plano!$G25)=0,N(Plano!$K25)=0),"",IF(Plano!$K25+Plano!$G25*MAX(0,ROUNDUP((AE$5-Plano!$K25)/Plano!$G25,0))&lt;=IF(DAY(AE$5)&gt;=29,EOMONTH(AE$5,0),AE$5+6),"●",""))</f>
        <v/>
      </c>
      <c r="AF28" s="53" t="str">
        <f ca="1">IF(OR(NOT(ISNUMBER(AF$5)),N(Plano!$G25)=0,N(Plano!$K25)=0),"",IF(Plano!$K25+Plano!$G25*MAX(0,ROUNDUP((AF$5-Plano!$K25)/Plano!$G25,0))&lt;=IF(DAY(AF$5)&gt;=29,EOMONTH(AF$5,0),AF$5+6),"●",""))</f>
        <v/>
      </c>
      <c r="AG28" s="53" t="str">
        <f ca="1">IF(OR(NOT(ISNUMBER(AG$5)),N(Plano!$G25)=0,N(Plano!$K25)=0),"",IF(Plano!$K25+Plano!$G25*MAX(0,ROUNDUP((AG$5-Plano!$K25)/Plano!$G25,0))&lt;=IF(DAY(AG$5)&gt;=29,EOMONTH(AG$5,0),AG$5+6),"●",""))</f>
        <v/>
      </c>
      <c r="AH28" s="53" t="str">
        <f ca="1">IF(OR(NOT(ISNUMBER(AH$5)),N(Plano!$G25)=0,N(Plano!$K25)=0),"",IF(Plano!$K25+Plano!$G25*MAX(0,ROUNDUP((AH$5-Plano!$K25)/Plano!$G25,0))&lt;=IF(DAY(AH$5)&gt;=29,EOMONTH(AH$5,0),AH$5+6),"●",""))</f>
        <v/>
      </c>
      <c r="AI28" s="53" t="str">
        <f ca="1">IF(OR(NOT(ISNUMBER(AI$5)),N(Plano!$G25)=0,N(Plano!$K25)=0),"",IF(Plano!$K25+Plano!$G25*MAX(0,ROUNDUP((AI$5-Plano!$K25)/Plano!$G25,0))&lt;=IF(DAY(AI$5)&gt;=29,EOMONTH(AI$5,0),AI$5+6),"●",""))</f>
        <v/>
      </c>
      <c r="AJ28" s="54" t="str">
        <f ca="1">IF(OR(NOT(ISNUMBER(AJ$5)),N(Plano!$G25)=0,N(Plano!$K25)=0),"",IF(Plano!$K25+Plano!$G25*MAX(0,ROUNDUP((AJ$5-Plano!$K25)/Plano!$G25,0))&lt;=IF(DAY(AJ$5)&gt;=29,EOMONTH(AJ$5,0),AJ$5+6),"●",""))</f>
        <v/>
      </c>
      <c r="AK28" s="53" t="str">
        <f ca="1">IF(OR(NOT(ISNUMBER(AK$5)),N(Plano!$G25)=0,N(Plano!$K25)=0),"",IF(Plano!$K25+Plano!$G25*MAX(0,ROUNDUP((AK$5-Plano!$K25)/Plano!$G25,0))&lt;=IF(DAY(AK$5)&gt;=29,EOMONTH(AK$5,0),AK$5+6),"●",""))</f>
        <v/>
      </c>
      <c r="AL28" s="53" t="str">
        <f ca="1">IF(OR(NOT(ISNUMBER(AL$5)),N(Plano!$G25)=0,N(Plano!$K25)=0),"",IF(Plano!$K25+Plano!$G25*MAX(0,ROUNDUP((AL$5-Plano!$K25)/Plano!$G25,0))&lt;=IF(DAY(AL$5)&gt;=29,EOMONTH(AL$5,0),AL$5+6),"●",""))</f>
        <v/>
      </c>
      <c r="AM28" s="53" t="str">
        <f ca="1">IF(OR(NOT(ISNUMBER(AM$5)),N(Plano!$G25)=0,N(Plano!$K25)=0),"",IF(Plano!$K25+Plano!$G25*MAX(0,ROUNDUP((AM$5-Plano!$K25)/Plano!$G25,0))&lt;=IF(DAY(AM$5)&gt;=29,EOMONTH(AM$5,0),AM$5+6),"●",""))</f>
        <v/>
      </c>
      <c r="AN28" s="53" t="str">
        <f ca="1">IF(OR(NOT(ISNUMBER(AN$5)),N(Plano!$G25)=0,N(Plano!$K25)=0),"",IF(Plano!$K25+Plano!$G25*MAX(0,ROUNDUP((AN$5-Plano!$K25)/Plano!$G25,0))&lt;=IF(DAY(AN$5)&gt;=29,EOMONTH(AN$5,0),AN$5+6),"●",""))</f>
        <v/>
      </c>
      <c r="AO28" s="54" t="str">
        <f ca="1">IF(OR(NOT(ISNUMBER(AO$5)),N(Plano!$G25)=0,N(Plano!$K25)=0),"",IF(Plano!$K25+Plano!$G25*MAX(0,ROUNDUP((AO$5-Plano!$K25)/Plano!$G25,0))&lt;=IF(DAY(AO$5)&gt;=29,EOMONTH(AO$5,0),AO$5+6),"●",""))</f>
        <v/>
      </c>
      <c r="AP28" s="53" t="str">
        <f ca="1">IF(OR(NOT(ISNUMBER(AP$5)),N(Plano!$G25)=0,N(Plano!$K25)=0),"",IF(Plano!$K25+Plano!$G25*MAX(0,ROUNDUP((AP$5-Plano!$K25)/Plano!$G25,0))&lt;=IF(DAY(AP$5)&gt;=29,EOMONTH(AP$5,0),AP$5+6),"●",""))</f>
        <v/>
      </c>
      <c r="AQ28" s="53" t="str">
        <f ca="1">IF(OR(NOT(ISNUMBER(AQ$5)),N(Plano!$G25)=0,N(Plano!$K25)=0),"",IF(Plano!$K25+Plano!$G25*MAX(0,ROUNDUP((AQ$5-Plano!$K25)/Plano!$G25,0))&lt;=IF(DAY(AQ$5)&gt;=29,EOMONTH(AQ$5,0),AQ$5+6),"●",""))</f>
        <v/>
      </c>
      <c r="AR28" s="53" t="str">
        <f ca="1">IF(OR(NOT(ISNUMBER(AR$5)),N(Plano!$G25)=0,N(Plano!$K25)=0),"",IF(Plano!$K25+Plano!$G25*MAX(0,ROUNDUP((AR$5-Plano!$K25)/Plano!$G25,0))&lt;=IF(DAY(AR$5)&gt;=29,EOMONTH(AR$5,0),AR$5+6),"●",""))</f>
        <v/>
      </c>
      <c r="AS28" s="53" t="str">
        <f ca="1">IF(OR(NOT(ISNUMBER(AS$5)),N(Plano!$G25)=0,N(Plano!$K25)=0),"",IF(Plano!$K25+Plano!$G25*MAX(0,ROUNDUP((AS$5-Plano!$K25)/Plano!$G25,0))&lt;=IF(DAY(AS$5)&gt;=29,EOMONTH(AS$5,0),AS$5+6),"●",""))</f>
        <v/>
      </c>
      <c r="AT28" s="54" t="str">
        <f ca="1">IF(OR(NOT(ISNUMBER(AT$5)),N(Plano!$G25)=0,N(Plano!$K25)=0),"",IF(Plano!$K25+Plano!$G25*MAX(0,ROUNDUP((AT$5-Plano!$K25)/Plano!$G25,0))&lt;=IF(DAY(AT$5)&gt;=29,EOMONTH(AT$5,0),AT$5+6),"●",""))</f>
        <v/>
      </c>
      <c r="AU28" s="53" t="str">
        <f ca="1">IF(OR(NOT(ISNUMBER(AU$5)),N(Plano!$G25)=0,N(Plano!$K25)=0),"",IF(Plano!$K25+Plano!$G25*MAX(0,ROUNDUP((AU$5-Plano!$K25)/Plano!$G25,0))&lt;=IF(DAY(AU$5)&gt;=29,EOMONTH(AU$5,0),AU$5+6),"●",""))</f>
        <v/>
      </c>
      <c r="AV28" s="53" t="str">
        <f ca="1">IF(OR(NOT(ISNUMBER(AV$5)),N(Plano!$G25)=0,N(Plano!$K25)=0),"",IF(Plano!$K25+Plano!$G25*MAX(0,ROUNDUP((AV$5-Plano!$K25)/Plano!$G25,0))&lt;=IF(DAY(AV$5)&gt;=29,EOMONTH(AV$5,0),AV$5+6),"●",""))</f>
        <v/>
      </c>
      <c r="AW28" s="53" t="str">
        <f ca="1">IF(OR(NOT(ISNUMBER(AW$5)),N(Plano!$G25)=0,N(Plano!$K25)=0),"",IF(Plano!$K25+Plano!$G25*MAX(0,ROUNDUP((AW$5-Plano!$K25)/Plano!$G25,0))&lt;=IF(DAY(AW$5)&gt;=29,EOMONTH(AW$5,0),AW$5+6),"●",""))</f>
        <v/>
      </c>
      <c r="AX28" s="53" t="str">
        <f ca="1">IF(OR(NOT(ISNUMBER(AX$5)),N(Plano!$G25)=0,N(Plano!$K25)=0),"",IF(Plano!$K25+Plano!$G25*MAX(0,ROUNDUP((AX$5-Plano!$K25)/Plano!$G25,0))&lt;=IF(DAY(AX$5)&gt;=29,EOMONTH(AX$5,0),AX$5+6),"●",""))</f>
        <v/>
      </c>
      <c r="AY28" s="54" t="str">
        <f ca="1">IF(OR(NOT(ISNUMBER(AY$5)),N(Plano!$G25)=0,N(Plano!$K25)=0),"",IF(Plano!$K25+Plano!$G25*MAX(0,ROUNDUP((AY$5-Plano!$K25)/Plano!$G25,0))&lt;=IF(DAY(AY$5)&gt;=29,EOMONTH(AY$5,0),AY$5+6),"●",""))</f>
        <v/>
      </c>
      <c r="AZ28" s="53" t="str">
        <f ca="1">IF(OR(NOT(ISNUMBER(AZ$5)),N(Plano!$G25)=0,N(Plano!$K25)=0),"",IF(Plano!$K25+Plano!$G25*MAX(0,ROUNDUP((AZ$5-Plano!$K25)/Plano!$G25,0))&lt;=IF(DAY(AZ$5)&gt;=29,EOMONTH(AZ$5,0),AZ$5+6),"●",""))</f>
        <v/>
      </c>
      <c r="BA28" s="53" t="str">
        <f ca="1">IF(OR(NOT(ISNUMBER(BA$5)),N(Plano!$G25)=0,N(Plano!$K25)=0),"",IF(Plano!$K25+Plano!$G25*MAX(0,ROUNDUP((BA$5-Plano!$K25)/Plano!$G25,0))&lt;=IF(DAY(BA$5)&gt;=29,EOMONTH(BA$5,0),BA$5+6),"●",""))</f>
        <v/>
      </c>
      <c r="BB28" s="53" t="str">
        <f ca="1">IF(OR(NOT(ISNUMBER(BB$5)),N(Plano!$G25)=0,N(Plano!$K25)=0),"",IF(Plano!$K25+Plano!$G25*MAX(0,ROUNDUP((BB$5-Plano!$K25)/Plano!$G25,0))&lt;=IF(DAY(BB$5)&gt;=29,EOMONTH(BB$5,0),BB$5+6),"●",""))</f>
        <v/>
      </c>
      <c r="BC28" s="53" t="str">
        <f ca="1">IF(OR(NOT(ISNUMBER(BC$5)),N(Plano!$G25)=0,N(Plano!$K25)=0),"",IF(Plano!$K25+Plano!$G25*MAX(0,ROUNDUP((BC$5-Plano!$K25)/Plano!$G25,0))&lt;=IF(DAY(BC$5)&gt;=29,EOMONTH(BC$5,0),BC$5+6),"●",""))</f>
        <v/>
      </c>
      <c r="BD28" s="54" t="str">
        <f ca="1">IF(OR(NOT(ISNUMBER(BD$5)),N(Plano!$G25)=0,N(Plano!$K25)=0),"",IF(Plano!$K25+Plano!$G25*MAX(0,ROUNDUP((BD$5-Plano!$K25)/Plano!$G25,0))&lt;=IF(DAY(BD$5)&gt;=29,EOMONTH(BD$5,0),BD$5+6),"●",""))</f>
        <v/>
      </c>
      <c r="BE28" s="53" t="str">
        <f ca="1">IF(OR(NOT(ISNUMBER(BE$5)),N(Plano!$G25)=0,N(Plano!$K25)=0),"",IF(Plano!$K25+Plano!$G25*MAX(0,ROUNDUP((BE$5-Plano!$K25)/Plano!$G25,0))&lt;=IF(DAY(BE$5)&gt;=29,EOMONTH(BE$5,0),BE$5+6),"●",""))</f>
        <v/>
      </c>
      <c r="BF28" s="53" t="str">
        <f ca="1">IF(OR(NOT(ISNUMBER(BF$5)),N(Plano!$G25)=0,N(Plano!$K25)=0),"",IF(Plano!$K25+Plano!$G25*MAX(0,ROUNDUP((BF$5-Plano!$K25)/Plano!$G25,0))&lt;=IF(DAY(BF$5)&gt;=29,EOMONTH(BF$5,0),BF$5+6),"●",""))</f>
        <v/>
      </c>
      <c r="BG28" s="53" t="str">
        <f ca="1">IF(OR(NOT(ISNUMBER(BG$5)),N(Plano!$G25)=0,N(Plano!$K25)=0),"",IF(Plano!$K25+Plano!$G25*MAX(0,ROUNDUP((BG$5-Plano!$K25)/Plano!$G25,0))&lt;=IF(DAY(BG$5)&gt;=29,EOMONTH(BG$5,0),BG$5+6),"●",""))</f>
        <v/>
      </c>
      <c r="BH28" s="53" t="str">
        <f ca="1">IF(OR(NOT(ISNUMBER(BH$5)),N(Plano!$G25)=0,N(Plano!$K25)=0),"",IF(Plano!$K25+Plano!$G25*MAX(0,ROUNDUP((BH$5-Plano!$K25)/Plano!$G25,0))&lt;=IF(DAY(BH$5)&gt;=29,EOMONTH(BH$5,0),BH$5+6),"●",""))</f>
        <v/>
      </c>
      <c r="BI28" s="54" t="str">
        <f ca="1">IF(OR(NOT(ISNUMBER(BI$5)),N(Plano!$G25)=0,N(Plano!$K25)=0),"",IF(Plano!$K25+Plano!$G25*MAX(0,ROUNDUP((BI$5-Plano!$K25)/Plano!$G25,0))&lt;=IF(DAY(BI$5)&gt;=29,EOMONTH(BI$5,0),BI$5+6),"●",""))</f>
        <v/>
      </c>
      <c r="BJ28" s="53" t="str">
        <f ca="1">IF(OR(NOT(ISNUMBER(BJ$5)),N(Plano!$G25)=0,N(Plano!$K25)=0),"",IF(Plano!$K25+Plano!$G25*MAX(0,ROUNDUP((BJ$5-Plano!$K25)/Plano!$G25,0))&lt;=IF(DAY(BJ$5)&gt;=29,EOMONTH(BJ$5,0),BJ$5+6),"●",""))</f>
        <v/>
      </c>
      <c r="BK28" s="53" t="str">
        <f ca="1">IF(OR(NOT(ISNUMBER(BK$5)),N(Plano!$G25)=0,N(Plano!$K25)=0),"",IF(Plano!$K25+Plano!$G25*MAX(0,ROUNDUP((BK$5-Plano!$K25)/Plano!$G25,0))&lt;=IF(DAY(BK$5)&gt;=29,EOMONTH(BK$5,0),BK$5+6),"●",""))</f>
        <v/>
      </c>
      <c r="BL28" s="53" t="str">
        <f ca="1">IF(OR(NOT(ISNUMBER(BL$5)),N(Plano!$G25)=0,N(Plano!$K25)=0),"",IF(Plano!$K25+Plano!$G25*MAX(0,ROUNDUP((BL$5-Plano!$K25)/Plano!$G25,0))&lt;=IF(DAY(BL$5)&gt;=29,EOMONTH(BL$5,0),BL$5+6),"●",""))</f>
        <v/>
      </c>
      <c r="BM28" s="55" t="str">
        <f ca="1">IF(OR(NOT(ISNUMBER(BM$5)),N(Plano!$G25)=0,N(Plano!$K25)=0),"",IF(Plano!$K25+Plano!$G25*MAX(0,ROUNDUP((BM$5-Plano!$K25)/Plano!$G25,0))&lt;=IF(DAY(BM$5)&gt;=29,EOMONTH(BM$5,0),BM$5+6),"●",""))</f>
        <v/>
      </c>
    </row>
    <row r="29" spans="1:65" ht="18" customHeight="1">
      <c r="A29" s="40">
        <f>Plano!A26</f>
        <v>21</v>
      </c>
      <c r="B29" s="51" t="str">
        <f>IF(Plano!B26="","",Plano!B26)</f>
        <v/>
      </c>
      <c r="C29" s="20" t="str">
        <f>IF(B29="","",IFERROR(INDEX(tb_pcm_ativos[descricao_ativo],MATCH(B29,tb_pcm_ativos[tag],0)),"fora do cadastro"))</f>
        <v/>
      </c>
      <c r="D29" s="20" t="str">
        <f>IF(Plano!E26="","",Plano!E26)</f>
        <v/>
      </c>
      <c r="E29" s="52" t="str">
        <f>IF(Plano!G26="","",Plano!G26)</f>
        <v/>
      </c>
      <c r="F29" s="53" t="str">
        <f ca="1">IF(OR(NOT(ISNUMBER(F$5)),N(Plano!$G26)=0,N(Plano!$K26)=0),"",IF(Plano!$K26+Plano!$G26*MAX(0,ROUNDUP((F$5-Plano!$K26)/Plano!$G26,0))&lt;=IF(DAY(F$5)&gt;=29,EOMONTH(F$5,0),F$5+6),"●",""))</f>
        <v/>
      </c>
      <c r="G29" s="53" t="str">
        <f ca="1">IF(OR(NOT(ISNUMBER(G$5)),N(Plano!$G26)=0,N(Plano!$K26)=0),"",IF(Plano!$K26+Plano!$G26*MAX(0,ROUNDUP((G$5-Plano!$K26)/Plano!$G26,0))&lt;=IF(DAY(G$5)&gt;=29,EOMONTH(G$5,0),G$5+6),"●",""))</f>
        <v/>
      </c>
      <c r="H29" s="53" t="str">
        <f ca="1">IF(OR(NOT(ISNUMBER(H$5)),N(Plano!$G26)=0,N(Plano!$K26)=0),"",IF(Plano!$K26+Plano!$G26*MAX(0,ROUNDUP((H$5-Plano!$K26)/Plano!$G26,0))&lt;=IF(DAY(H$5)&gt;=29,EOMONTH(H$5,0),H$5+6),"●",""))</f>
        <v/>
      </c>
      <c r="I29" s="53" t="str">
        <f ca="1">IF(OR(NOT(ISNUMBER(I$5)),N(Plano!$G26)=0,N(Plano!$K26)=0),"",IF(Plano!$K26+Plano!$G26*MAX(0,ROUNDUP((I$5-Plano!$K26)/Plano!$G26,0))&lt;=IF(DAY(I$5)&gt;=29,EOMONTH(I$5,0),I$5+6),"●",""))</f>
        <v/>
      </c>
      <c r="J29" s="53" t="str">
        <f ca="1">IF(OR(NOT(ISNUMBER(J$5)),N(Plano!$G26)=0,N(Plano!$K26)=0),"",IF(Plano!$K26+Plano!$G26*MAX(0,ROUNDUP((J$5-Plano!$K26)/Plano!$G26,0))&lt;=IF(DAY(J$5)&gt;=29,EOMONTH(J$5,0),J$5+6),"●",""))</f>
        <v/>
      </c>
      <c r="K29" s="54" t="str">
        <f ca="1">IF(OR(NOT(ISNUMBER(K$5)),N(Plano!$G26)=0,N(Plano!$K26)=0),"",IF(Plano!$K26+Plano!$G26*MAX(0,ROUNDUP((K$5-Plano!$K26)/Plano!$G26,0))&lt;=IF(DAY(K$5)&gt;=29,EOMONTH(K$5,0),K$5+6),"●",""))</f>
        <v/>
      </c>
      <c r="L29" s="53" t="str">
        <f ca="1">IF(OR(NOT(ISNUMBER(L$5)),N(Plano!$G26)=0,N(Plano!$K26)=0),"",IF(Plano!$K26+Plano!$G26*MAX(0,ROUNDUP((L$5-Plano!$K26)/Plano!$G26,0))&lt;=IF(DAY(L$5)&gt;=29,EOMONTH(L$5,0),L$5+6),"●",""))</f>
        <v/>
      </c>
      <c r="M29" s="53" t="str">
        <f ca="1">IF(OR(NOT(ISNUMBER(M$5)),N(Plano!$G26)=0,N(Plano!$K26)=0),"",IF(Plano!$K26+Plano!$G26*MAX(0,ROUNDUP((M$5-Plano!$K26)/Plano!$G26,0))&lt;=IF(DAY(M$5)&gt;=29,EOMONTH(M$5,0),M$5+6),"●",""))</f>
        <v/>
      </c>
      <c r="N29" s="53" t="str">
        <f ca="1">IF(OR(NOT(ISNUMBER(N$5)),N(Plano!$G26)=0,N(Plano!$K26)=0),"",IF(Plano!$K26+Plano!$G26*MAX(0,ROUNDUP((N$5-Plano!$K26)/Plano!$G26,0))&lt;=IF(DAY(N$5)&gt;=29,EOMONTH(N$5,0),N$5+6),"●",""))</f>
        <v/>
      </c>
      <c r="O29" s="53" t="str">
        <f ca="1">IF(OR(NOT(ISNUMBER(O$5)),N(Plano!$G26)=0,N(Plano!$K26)=0),"",IF(Plano!$K26+Plano!$G26*MAX(0,ROUNDUP((O$5-Plano!$K26)/Plano!$G26,0))&lt;=IF(DAY(O$5)&gt;=29,EOMONTH(O$5,0),O$5+6),"●",""))</f>
        <v/>
      </c>
      <c r="P29" s="54" t="str">
        <f ca="1">IF(OR(NOT(ISNUMBER(P$5)),N(Plano!$G26)=0,N(Plano!$K26)=0),"",IF(Plano!$K26+Plano!$G26*MAX(0,ROUNDUP((P$5-Plano!$K26)/Plano!$G26,0))&lt;=IF(DAY(P$5)&gt;=29,EOMONTH(P$5,0),P$5+6),"●",""))</f>
        <v/>
      </c>
      <c r="Q29" s="53" t="str">
        <f ca="1">IF(OR(NOT(ISNUMBER(Q$5)),N(Plano!$G26)=0,N(Plano!$K26)=0),"",IF(Plano!$K26+Plano!$G26*MAX(0,ROUNDUP((Q$5-Plano!$K26)/Plano!$G26,0))&lt;=IF(DAY(Q$5)&gt;=29,EOMONTH(Q$5,0),Q$5+6),"●",""))</f>
        <v/>
      </c>
      <c r="R29" s="53" t="str">
        <f ca="1">IF(OR(NOT(ISNUMBER(R$5)),N(Plano!$G26)=0,N(Plano!$K26)=0),"",IF(Plano!$K26+Plano!$G26*MAX(0,ROUNDUP((R$5-Plano!$K26)/Plano!$G26,0))&lt;=IF(DAY(R$5)&gt;=29,EOMONTH(R$5,0),R$5+6),"●",""))</f>
        <v/>
      </c>
      <c r="S29" s="53" t="str">
        <f ca="1">IF(OR(NOT(ISNUMBER(S$5)),N(Plano!$G26)=0,N(Plano!$K26)=0),"",IF(Plano!$K26+Plano!$G26*MAX(0,ROUNDUP((S$5-Plano!$K26)/Plano!$G26,0))&lt;=IF(DAY(S$5)&gt;=29,EOMONTH(S$5,0),S$5+6),"●",""))</f>
        <v/>
      </c>
      <c r="T29" s="53" t="str">
        <f ca="1">IF(OR(NOT(ISNUMBER(T$5)),N(Plano!$G26)=0,N(Plano!$K26)=0),"",IF(Plano!$K26+Plano!$G26*MAX(0,ROUNDUP((T$5-Plano!$K26)/Plano!$G26,0))&lt;=IF(DAY(T$5)&gt;=29,EOMONTH(T$5,0),T$5+6),"●",""))</f>
        <v/>
      </c>
      <c r="U29" s="54" t="str">
        <f ca="1">IF(OR(NOT(ISNUMBER(U$5)),N(Plano!$G26)=0,N(Plano!$K26)=0),"",IF(Plano!$K26+Plano!$G26*MAX(0,ROUNDUP((U$5-Plano!$K26)/Plano!$G26,0))&lt;=IF(DAY(U$5)&gt;=29,EOMONTH(U$5,0),U$5+6),"●",""))</f>
        <v/>
      </c>
      <c r="V29" s="53" t="str">
        <f ca="1">IF(OR(NOT(ISNUMBER(V$5)),N(Plano!$G26)=0,N(Plano!$K26)=0),"",IF(Plano!$K26+Plano!$G26*MAX(0,ROUNDUP((V$5-Plano!$K26)/Plano!$G26,0))&lt;=IF(DAY(V$5)&gt;=29,EOMONTH(V$5,0),V$5+6),"●",""))</f>
        <v/>
      </c>
      <c r="W29" s="53" t="str">
        <f ca="1">IF(OR(NOT(ISNUMBER(W$5)),N(Plano!$G26)=0,N(Plano!$K26)=0),"",IF(Plano!$K26+Plano!$G26*MAX(0,ROUNDUP((W$5-Plano!$K26)/Plano!$G26,0))&lt;=IF(DAY(W$5)&gt;=29,EOMONTH(W$5,0),W$5+6),"●",""))</f>
        <v/>
      </c>
      <c r="X29" s="53" t="str">
        <f ca="1">IF(OR(NOT(ISNUMBER(X$5)),N(Plano!$G26)=0,N(Plano!$K26)=0),"",IF(Plano!$K26+Plano!$G26*MAX(0,ROUNDUP((X$5-Plano!$K26)/Plano!$G26,0))&lt;=IF(DAY(X$5)&gt;=29,EOMONTH(X$5,0),X$5+6),"●",""))</f>
        <v/>
      </c>
      <c r="Y29" s="53" t="str">
        <f ca="1">IF(OR(NOT(ISNUMBER(Y$5)),N(Plano!$G26)=0,N(Plano!$K26)=0),"",IF(Plano!$K26+Plano!$G26*MAX(0,ROUNDUP((Y$5-Plano!$K26)/Plano!$G26,0))&lt;=IF(DAY(Y$5)&gt;=29,EOMONTH(Y$5,0),Y$5+6),"●",""))</f>
        <v/>
      </c>
      <c r="Z29" s="54" t="str">
        <f ca="1">IF(OR(NOT(ISNUMBER(Z$5)),N(Plano!$G26)=0,N(Plano!$K26)=0),"",IF(Plano!$K26+Plano!$G26*MAX(0,ROUNDUP((Z$5-Plano!$K26)/Plano!$G26,0))&lt;=IF(DAY(Z$5)&gt;=29,EOMONTH(Z$5,0),Z$5+6),"●",""))</f>
        <v/>
      </c>
      <c r="AA29" s="53" t="str">
        <f ca="1">IF(OR(NOT(ISNUMBER(AA$5)),N(Plano!$G26)=0,N(Plano!$K26)=0),"",IF(Plano!$K26+Plano!$G26*MAX(0,ROUNDUP((AA$5-Plano!$K26)/Plano!$G26,0))&lt;=IF(DAY(AA$5)&gt;=29,EOMONTH(AA$5,0),AA$5+6),"●",""))</f>
        <v/>
      </c>
      <c r="AB29" s="53" t="str">
        <f ca="1">IF(OR(NOT(ISNUMBER(AB$5)),N(Plano!$G26)=0,N(Plano!$K26)=0),"",IF(Plano!$K26+Plano!$G26*MAX(0,ROUNDUP((AB$5-Plano!$K26)/Plano!$G26,0))&lt;=IF(DAY(AB$5)&gt;=29,EOMONTH(AB$5,0),AB$5+6),"●",""))</f>
        <v/>
      </c>
      <c r="AC29" s="53" t="str">
        <f ca="1">IF(OR(NOT(ISNUMBER(AC$5)),N(Plano!$G26)=0,N(Plano!$K26)=0),"",IF(Plano!$K26+Plano!$G26*MAX(0,ROUNDUP((AC$5-Plano!$K26)/Plano!$G26,0))&lt;=IF(DAY(AC$5)&gt;=29,EOMONTH(AC$5,0),AC$5+6),"●",""))</f>
        <v/>
      </c>
      <c r="AD29" s="53" t="str">
        <f ca="1">IF(OR(NOT(ISNUMBER(AD$5)),N(Plano!$G26)=0,N(Plano!$K26)=0),"",IF(Plano!$K26+Plano!$G26*MAX(0,ROUNDUP((AD$5-Plano!$K26)/Plano!$G26,0))&lt;=IF(DAY(AD$5)&gt;=29,EOMONTH(AD$5,0),AD$5+6),"●",""))</f>
        <v/>
      </c>
      <c r="AE29" s="54" t="str">
        <f ca="1">IF(OR(NOT(ISNUMBER(AE$5)),N(Plano!$G26)=0,N(Plano!$K26)=0),"",IF(Plano!$K26+Plano!$G26*MAX(0,ROUNDUP((AE$5-Plano!$K26)/Plano!$G26,0))&lt;=IF(DAY(AE$5)&gt;=29,EOMONTH(AE$5,0),AE$5+6),"●",""))</f>
        <v/>
      </c>
      <c r="AF29" s="53" t="str">
        <f ca="1">IF(OR(NOT(ISNUMBER(AF$5)),N(Plano!$G26)=0,N(Plano!$K26)=0),"",IF(Plano!$K26+Plano!$G26*MAX(0,ROUNDUP((AF$5-Plano!$K26)/Plano!$G26,0))&lt;=IF(DAY(AF$5)&gt;=29,EOMONTH(AF$5,0),AF$5+6),"●",""))</f>
        <v/>
      </c>
      <c r="AG29" s="53" t="str">
        <f ca="1">IF(OR(NOT(ISNUMBER(AG$5)),N(Plano!$G26)=0,N(Plano!$K26)=0),"",IF(Plano!$K26+Plano!$G26*MAX(0,ROUNDUP((AG$5-Plano!$K26)/Plano!$G26,0))&lt;=IF(DAY(AG$5)&gt;=29,EOMONTH(AG$5,0),AG$5+6),"●",""))</f>
        <v/>
      </c>
      <c r="AH29" s="53" t="str">
        <f ca="1">IF(OR(NOT(ISNUMBER(AH$5)),N(Plano!$G26)=0,N(Plano!$K26)=0),"",IF(Plano!$K26+Plano!$G26*MAX(0,ROUNDUP((AH$5-Plano!$K26)/Plano!$G26,0))&lt;=IF(DAY(AH$5)&gt;=29,EOMONTH(AH$5,0),AH$5+6),"●",""))</f>
        <v/>
      </c>
      <c r="AI29" s="53" t="str">
        <f ca="1">IF(OR(NOT(ISNUMBER(AI$5)),N(Plano!$G26)=0,N(Plano!$K26)=0),"",IF(Plano!$K26+Plano!$G26*MAX(0,ROUNDUP((AI$5-Plano!$K26)/Plano!$G26,0))&lt;=IF(DAY(AI$5)&gt;=29,EOMONTH(AI$5,0),AI$5+6),"●",""))</f>
        <v/>
      </c>
      <c r="AJ29" s="54" t="str">
        <f ca="1">IF(OR(NOT(ISNUMBER(AJ$5)),N(Plano!$G26)=0,N(Plano!$K26)=0),"",IF(Plano!$K26+Plano!$G26*MAX(0,ROUNDUP((AJ$5-Plano!$K26)/Plano!$G26,0))&lt;=IF(DAY(AJ$5)&gt;=29,EOMONTH(AJ$5,0),AJ$5+6),"●",""))</f>
        <v/>
      </c>
      <c r="AK29" s="53" t="str">
        <f ca="1">IF(OR(NOT(ISNUMBER(AK$5)),N(Plano!$G26)=0,N(Plano!$K26)=0),"",IF(Plano!$K26+Plano!$G26*MAX(0,ROUNDUP((AK$5-Plano!$K26)/Plano!$G26,0))&lt;=IF(DAY(AK$5)&gt;=29,EOMONTH(AK$5,0),AK$5+6),"●",""))</f>
        <v/>
      </c>
      <c r="AL29" s="53" t="str">
        <f ca="1">IF(OR(NOT(ISNUMBER(AL$5)),N(Plano!$G26)=0,N(Plano!$K26)=0),"",IF(Plano!$K26+Plano!$G26*MAX(0,ROUNDUP((AL$5-Plano!$K26)/Plano!$G26,0))&lt;=IF(DAY(AL$5)&gt;=29,EOMONTH(AL$5,0),AL$5+6),"●",""))</f>
        <v/>
      </c>
      <c r="AM29" s="53" t="str">
        <f ca="1">IF(OR(NOT(ISNUMBER(AM$5)),N(Plano!$G26)=0,N(Plano!$K26)=0),"",IF(Plano!$K26+Plano!$G26*MAX(0,ROUNDUP((AM$5-Plano!$K26)/Plano!$G26,0))&lt;=IF(DAY(AM$5)&gt;=29,EOMONTH(AM$5,0),AM$5+6),"●",""))</f>
        <v/>
      </c>
      <c r="AN29" s="53" t="str">
        <f ca="1">IF(OR(NOT(ISNUMBER(AN$5)),N(Plano!$G26)=0,N(Plano!$K26)=0),"",IF(Plano!$K26+Plano!$G26*MAX(0,ROUNDUP((AN$5-Plano!$K26)/Plano!$G26,0))&lt;=IF(DAY(AN$5)&gt;=29,EOMONTH(AN$5,0),AN$5+6),"●",""))</f>
        <v/>
      </c>
      <c r="AO29" s="54" t="str">
        <f ca="1">IF(OR(NOT(ISNUMBER(AO$5)),N(Plano!$G26)=0,N(Plano!$K26)=0),"",IF(Plano!$K26+Plano!$G26*MAX(0,ROUNDUP((AO$5-Plano!$K26)/Plano!$G26,0))&lt;=IF(DAY(AO$5)&gt;=29,EOMONTH(AO$5,0),AO$5+6),"●",""))</f>
        <v/>
      </c>
      <c r="AP29" s="53" t="str">
        <f ca="1">IF(OR(NOT(ISNUMBER(AP$5)),N(Plano!$G26)=0,N(Plano!$K26)=0),"",IF(Plano!$K26+Plano!$G26*MAX(0,ROUNDUP((AP$5-Plano!$K26)/Plano!$G26,0))&lt;=IF(DAY(AP$5)&gt;=29,EOMONTH(AP$5,0),AP$5+6),"●",""))</f>
        <v/>
      </c>
      <c r="AQ29" s="53" t="str">
        <f ca="1">IF(OR(NOT(ISNUMBER(AQ$5)),N(Plano!$G26)=0,N(Plano!$K26)=0),"",IF(Plano!$K26+Plano!$G26*MAX(0,ROUNDUP((AQ$5-Plano!$K26)/Plano!$G26,0))&lt;=IF(DAY(AQ$5)&gt;=29,EOMONTH(AQ$5,0),AQ$5+6),"●",""))</f>
        <v/>
      </c>
      <c r="AR29" s="53" t="str">
        <f ca="1">IF(OR(NOT(ISNUMBER(AR$5)),N(Plano!$G26)=0,N(Plano!$K26)=0),"",IF(Plano!$K26+Plano!$G26*MAX(0,ROUNDUP((AR$5-Plano!$K26)/Plano!$G26,0))&lt;=IF(DAY(AR$5)&gt;=29,EOMONTH(AR$5,0),AR$5+6),"●",""))</f>
        <v/>
      </c>
      <c r="AS29" s="53" t="str">
        <f ca="1">IF(OR(NOT(ISNUMBER(AS$5)),N(Plano!$G26)=0,N(Plano!$K26)=0),"",IF(Plano!$K26+Plano!$G26*MAX(0,ROUNDUP((AS$5-Plano!$K26)/Plano!$G26,0))&lt;=IF(DAY(AS$5)&gt;=29,EOMONTH(AS$5,0),AS$5+6),"●",""))</f>
        <v/>
      </c>
      <c r="AT29" s="54" t="str">
        <f ca="1">IF(OR(NOT(ISNUMBER(AT$5)),N(Plano!$G26)=0,N(Plano!$K26)=0),"",IF(Plano!$K26+Plano!$G26*MAX(0,ROUNDUP((AT$5-Plano!$K26)/Plano!$G26,0))&lt;=IF(DAY(AT$5)&gt;=29,EOMONTH(AT$5,0),AT$5+6),"●",""))</f>
        <v/>
      </c>
      <c r="AU29" s="53" t="str">
        <f ca="1">IF(OR(NOT(ISNUMBER(AU$5)),N(Plano!$G26)=0,N(Plano!$K26)=0),"",IF(Plano!$K26+Plano!$G26*MAX(0,ROUNDUP((AU$5-Plano!$K26)/Plano!$G26,0))&lt;=IF(DAY(AU$5)&gt;=29,EOMONTH(AU$5,0),AU$5+6),"●",""))</f>
        <v/>
      </c>
      <c r="AV29" s="53" t="str">
        <f ca="1">IF(OR(NOT(ISNUMBER(AV$5)),N(Plano!$G26)=0,N(Plano!$K26)=0),"",IF(Plano!$K26+Plano!$G26*MAX(0,ROUNDUP((AV$5-Plano!$K26)/Plano!$G26,0))&lt;=IF(DAY(AV$5)&gt;=29,EOMONTH(AV$5,0),AV$5+6),"●",""))</f>
        <v/>
      </c>
      <c r="AW29" s="53" t="str">
        <f ca="1">IF(OR(NOT(ISNUMBER(AW$5)),N(Plano!$G26)=0,N(Plano!$K26)=0),"",IF(Plano!$K26+Plano!$G26*MAX(0,ROUNDUP((AW$5-Plano!$K26)/Plano!$G26,0))&lt;=IF(DAY(AW$5)&gt;=29,EOMONTH(AW$5,0),AW$5+6),"●",""))</f>
        <v/>
      </c>
      <c r="AX29" s="53" t="str">
        <f ca="1">IF(OR(NOT(ISNUMBER(AX$5)),N(Plano!$G26)=0,N(Plano!$K26)=0),"",IF(Plano!$K26+Plano!$G26*MAX(0,ROUNDUP((AX$5-Plano!$K26)/Plano!$G26,0))&lt;=IF(DAY(AX$5)&gt;=29,EOMONTH(AX$5,0),AX$5+6),"●",""))</f>
        <v/>
      </c>
      <c r="AY29" s="54" t="str">
        <f ca="1">IF(OR(NOT(ISNUMBER(AY$5)),N(Plano!$G26)=0,N(Plano!$K26)=0),"",IF(Plano!$K26+Plano!$G26*MAX(0,ROUNDUP((AY$5-Plano!$K26)/Plano!$G26,0))&lt;=IF(DAY(AY$5)&gt;=29,EOMONTH(AY$5,0),AY$5+6),"●",""))</f>
        <v/>
      </c>
      <c r="AZ29" s="53" t="str">
        <f ca="1">IF(OR(NOT(ISNUMBER(AZ$5)),N(Plano!$G26)=0,N(Plano!$K26)=0),"",IF(Plano!$K26+Plano!$G26*MAX(0,ROUNDUP((AZ$5-Plano!$K26)/Plano!$G26,0))&lt;=IF(DAY(AZ$5)&gt;=29,EOMONTH(AZ$5,0),AZ$5+6),"●",""))</f>
        <v/>
      </c>
      <c r="BA29" s="53" t="str">
        <f ca="1">IF(OR(NOT(ISNUMBER(BA$5)),N(Plano!$G26)=0,N(Plano!$K26)=0),"",IF(Plano!$K26+Plano!$G26*MAX(0,ROUNDUP((BA$5-Plano!$K26)/Plano!$G26,0))&lt;=IF(DAY(BA$5)&gt;=29,EOMONTH(BA$5,0),BA$5+6),"●",""))</f>
        <v/>
      </c>
      <c r="BB29" s="53" t="str">
        <f ca="1">IF(OR(NOT(ISNUMBER(BB$5)),N(Plano!$G26)=0,N(Plano!$K26)=0),"",IF(Plano!$K26+Plano!$G26*MAX(0,ROUNDUP((BB$5-Plano!$K26)/Plano!$G26,0))&lt;=IF(DAY(BB$5)&gt;=29,EOMONTH(BB$5,0),BB$5+6),"●",""))</f>
        <v/>
      </c>
      <c r="BC29" s="53" t="str">
        <f ca="1">IF(OR(NOT(ISNUMBER(BC$5)),N(Plano!$G26)=0,N(Plano!$K26)=0),"",IF(Plano!$K26+Plano!$G26*MAX(0,ROUNDUP((BC$5-Plano!$K26)/Plano!$G26,0))&lt;=IF(DAY(BC$5)&gt;=29,EOMONTH(BC$5,0),BC$5+6),"●",""))</f>
        <v/>
      </c>
      <c r="BD29" s="54" t="str">
        <f ca="1">IF(OR(NOT(ISNUMBER(BD$5)),N(Plano!$G26)=0,N(Plano!$K26)=0),"",IF(Plano!$K26+Plano!$G26*MAX(0,ROUNDUP((BD$5-Plano!$K26)/Plano!$G26,0))&lt;=IF(DAY(BD$5)&gt;=29,EOMONTH(BD$5,0),BD$5+6),"●",""))</f>
        <v/>
      </c>
      <c r="BE29" s="53" t="str">
        <f ca="1">IF(OR(NOT(ISNUMBER(BE$5)),N(Plano!$G26)=0,N(Plano!$K26)=0),"",IF(Plano!$K26+Plano!$G26*MAX(0,ROUNDUP((BE$5-Plano!$K26)/Plano!$G26,0))&lt;=IF(DAY(BE$5)&gt;=29,EOMONTH(BE$5,0),BE$5+6),"●",""))</f>
        <v/>
      </c>
      <c r="BF29" s="53" t="str">
        <f ca="1">IF(OR(NOT(ISNUMBER(BF$5)),N(Plano!$G26)=0,N(Plano!$K26)=0),"",IF(Plano!$K26+Plano!$G26*MAX(0,ROUNDUP((BF$5-Plano!$K26)/Plano!$G26,0))&lt;=IF(DAY(BF$5)&gt;=29,EOMONTH(BF$5,0),BF$5+6),"●",""))</f>
        <v/>
      </c>
      <c r="BG29" s="53" t="str">
        <f ca="1">IF(OR(NOT(ISNUMBER(BG$5)),N(Plano!$G26)=0,N(Plano!$K26)=0),"",IF(Plano!$K26+Plano!$G26*MAX(0,ROUNDUP((BG$5-Plano!$K26)/Plano!$G26,0))&lt;=IF(DAY(BG$5)&gt;=29,EOMONTH(BG$5,0),BG$5+6),"●",""))</f>
        <v/>
      </c>
      <c r="BH29" s="53" t="str">
        <f ca="1">IF(OR(NOT(ISNUMBER(BH$5)),N(Plano!$G26)=0,N(Plano!$K26)=0),"",IF(Plano!$K26+Plano!$G26*MAX(0,ROUNDUP((BH$5-Plano!$K26)/Plano!$G26,0))&lt;=IF(DAY(BH$5)&gt;=29,EOMONTH(BH$5,0),BH$5+6),"●",""))</f>
        <v/>
      </c>
      <c r="BI29" s="54" t="str">
        <f ca="1">IF(OR(NOT(ISNUMBER(BI$5)),N(Plano!$G26)=0,N(Plano!$K26)=0),"",IF(Plano!$K26+Plano!$G26*MAX(0,ROUNDUP((BI$5-Plano!$K26)/Plano!$G26,0))&lt;=IF(DAY(BI$5)&gt;=29,EOMONTH(BI$5,0),BI$5+6),"●",""))</f>
        <v/>
      </c>
      <c r="BJ29" s="53" t="str">
        <f ca="1">IF(OR(NOT(ISNUMBER(BJ$5)),N(Plano!$G26)=0,N(Plano!$K26)=0),"",IF(Plano!$K26+Plano!$G26*MAX(0,ROUNDUP((BJ$5-Plano!$K26)/Plano!$G26,0))&lt;=IF(DAY(BJ$5)&gt;=29,EOMONTH(BJ$5,0),BJ$5+6),"●",""))</f>
        <v/>
      </c>
      <c r="BK29" s="53" t="str">
        <f ca="1">IF(OR(NOT(ISNUMBER(BK$5)),N(Plano!$G26)=0,N(Plano!$K26)=0),"",IF(Plano!$K26+Plano!$G26*MAX(0,ROUNDUP((BK$5-Plano!$K26)/Plano!$G26,0))&lt;=IF(DAY(BK$5)&gt;=29,EOMONTH(BK$5,0),BK$5+6),"●",""))</f>
        <v/>
      </c>
      <c r="BL29" s="53" t="str">
        <f ca="1">IF(OR(NOT(ISNUMBER(BL$5)),N(Plano!$G26)=0,N(Plano!$K26)=0),"",IF(Plano!$K26+Plano!$G26*MAX(0,ROUNDUP((BL$5-Plano!$K26)/Plano!$G26,0))&lt;=IF(DAY(BL$5)&gt;=29,EOMONTH(BL$5,0),BL$5+6),"●",""))</f>
        <v/>
      </c>
      <c r="BM29" s="55" t="str">
        <f ca="1">IF(OR(NOT(ISNUMBER(BM$5)),N(Plano!$G26)=0,N(Plano!$K26)=0),"",IF(Plano!$K26+Plano!$G26*MAX(0,ROUNDUP((BM$5-Plano!$K26)/Plano!$G26,0))&lt;=IF(DAY(BM$5)&gt;=29,EOMONTH(BM$5,0),BM$5+6),"●",""))</f>
        <v/>
      </c>
    </row>
    <row r="30" spans="1:65" ht="18" customHeight="1">
      <c r="A30" s="40">
        <f>Plano!A27</f>
        <v>22</v>
      </c>
      <c r="B30" s="51" t="str">
        <f>IF(Plano!B27="","",Plano!B27)</f>
        <v/>
      </c>
      <c r="C30" s="20" t="str">
        <f>IF(B30="","",IFERROR(INDEX(tb_pcm_ativos[descricao_ativo],MATCH(B30,tb_pcm_ativos[tag],0)),"fora do cadastro"))</f>
        <v/>
      </c>
      <c r="D30" s="20" t="str">
        <f>IF(Plano!E27="","",Plano!E27)</f>
        <v/>
      </c>
      <c r="E30" s="52" t="str">
        <f>IF(Plano!G27="","",Plano!G27)</f>
        <v/>
      </c>
      <c r="F30" s="53" t="str">
        <f ca="1">IF(OR(NOT(ISNUMBER(F$5)),N(Plano!$G27)=0,N(Plano!$K27)=0),"",IF(Plano!$K27+Plano!$G27*MAX(0,ROUNDUP((F$5-Plano!$K27)/Plano!$G27,0))&lt;=IF(DAY(F$5)&gt;=29,EOMONTH(F$5,0),F$5+6),"●",""))</f>
        <v/>
      </c>
      <c r="G30" s="53" t="str">
        <f ca="1">IF(OR(NOT(ISNUMBER(G$5)),N(Plano!$G27)=0,N(Plano!$K27)=0),"",IF(Plano!$K27+Plano!$G27*MAX(0,ROUNDUP((G$5-Plano!$K27)/Plano!$G27,0))&lt;=IF(DAY(G$5)&gt;=29,EOMONTH(G$5,0),G$5+6),"●",""))</f>
        <v/>
      </c>
      <c r="H30" s="53" t="str">
        <f ca="1">IF(OR(NOT(ISNUMBER(H$5)),N(Plano!$G27)=0,N(Plano!$K27)=0),"",IF(Plano!$K27+Plano!$G27*MAX(0,ROUNDUP((H$5-Plano!$K27)/Plano!$G27,0))&lt;=IF(DAY(H$5)&gt;=29,EOMONTH(H$5,0),H$5+6),"●",""))</f>
        <v/>
      </c>
      <c r="I30" s="53" t="str">
        <f ca="1">IF(OR(NOT(ISNUMBER(I$5)),N(Plano!$G27)=0,N(Plano!$K27)=0),"",IF(Plano!$K27+Plano!$G27*MAX(0,ROUNDUP((I$5-Plano!$K27)/Plano!$G27,0))&lt;=IF(DAY(I$5)&gt;=29,EOMONTH(I$5,0),I$5+6),"●",""))</f>
        <v/>
      </c>
      <c r="J30" s="53" t="str">
        <f ca="1">IF(OR(NOT(ISNUMBER(J$5)),N(Plano!$G27)=0,N(Plano!$K27)=0),"",IF(Plano!$K27+Plano!$G27*MAX(0,ROUNDUP((J$5-Plano!$K27)/Plano!$G27,0))&lt;=IF(DAY(J$5)&gt;=29,EOMONTH(J$5,0),J$5+6),"●",""))</f>
        <v/>
      </c>
      <c r="K30" s="54" t="str">
        <f ca="1">IF(OR(NOT(ISNUMBER(K$5)),N(Plano!$G27)=0,N(Plano!$K27)=0),"",IF(Plano!$K27+Plano!$G27*MAX(0,ROUNDUP((K$5-Plano!$K27)/Plano!$G27,0))&lt;=IF(DAY(K$5)&gt;=29,EOMONTH(K$5,0),K$5+6),"●",""))</f>
        <v/>
      </c>
      <c r="L30" s="53" t="str">
        <f ca="1">IF(OR(NOT(ISNUMBER(L$5)),N(Plano!$G27)=0,N(Plano!$K27)=0),"",IF(Plano!$K27+Plano!$G27*MAX(0,ROUNDUP((L$5-Plano!$K27)/Plano!$G27,0))&lt;=IF(DAY(L$5)&gt;=29,EOMONTH(L$5,0),L$5+6),"●",""))</f>
        <v/>
      </c>
      <c r="M30" s="53" t="str">
        <f ca="1">IF(OR(NOT(ISNUMBER(M$5)),N(Plano!$G27)=0,N(Plano!$K27)=0),"",IF(Plano!$K27+Plano!$G27*MAX(0,ROUNDUP((M$5-Plano!$K27)/Plano!$G27,0))&lt;=IF(DAY(M$5)&gt;=29,EOMONTH(M$5,0),M$5+6),"●",""))</f>
        <v/>
      </c>
      <c r="N30" s="53" t="str">
        <f ca="1">IF(OR(NOT(ISNUMBER(N$5)),N(Plano!$G27)=0,N(Plano!$K27)=0),"",IF(Plano!$K27+Plano!$G27*MAX(0,ROUNDUP((N$5-Plano!$K27)/Plano!$G27,0))&lt;=IF(DAY(N$5)&gt;=29,EOMONTH(N$5,0),N$5+6),"●",""))</f>
        <v/>
      </c>
      <c r="O30" s="53" t="str">
        <f ca="1">IF(OR(NOT(ISNUMBER(O$5)),N(Plano!$G27)=0,N(Plano!$K27)=0),"",IF(Plano!$K27+Plano!$G27*MAX(0,ROUNDUP((O$5-Plano!$K27)/Plano!$G27,0))&lt;=IF(DAY(O$5)&gt;=29,EOMONTH(O$5,0),O$5+6),"●",""))</f>
        <v/>
      </c>
      <c r="P30" s="54" t="str">
        <f ca="1">IF(OR(NOT(ISNUMBER(P$5)),N(Plano!$G27)=0,N(Plano!$K27)=0),"",IF(Plano!$K27+Plano!$G27*MAX(0,ROUNDUP((P$5-Plano!$K27)/Plano!$G27,0))&lt;=IF(DAY(P$5)&gt;=29,EOMONTH(P$5,0),P$5+6),"●",""))</f>
        <v/>
      </c>
      <c r="Q30" s="53" t="str">
        <f ca="1">IF(OR(NOT(ISNUMBER(Q$5)),N(Plano!$G27)=0,N(Plano!$K27)=0),"",IF(Plano!$K27+Plano!$G27*MAX(0,ROUNDUP((Q$5-Plano!$K27)/Plano!$G27,0))&lt;=IF(DAY(Q$5)&gt;=29,EOMONTH(Q$5,0),Q$5+6),"●",""))</f>
        <v/>
      </c>
      <c r="R30" s="53" t="str">
        <f ca="1">IF(OR(NOT(ISNUMBER(R$5)),N(Plano!$G27)=0,N(Plano!$K27)=0),"",IF(Plano!$K27+Plano!$G27*MAX(0,ROUNDUP((R$5-Plano!$K27)/Plano!$G27,0))&lt;=IF(DAY(R$5)&gt;=29,EOMONTH(R$5,0),R$5+6),"●",""))</f>
        <v/>
      </c>
      <c r="S30" s="53" t="str">
        <f ca="1">IF(OR(NOT(ISNUMBER(S$5)),N(Plano!$G27)=0,N(Plano!$K27)=0),"",IF(Plano!$K27+Plano!$G27*MAX(0,ROUNDUP((S$5-Plano!$K27)/Plano!$G27,0))&lt;=IF(DAY(S$5)&gt;=29,EOMONTH(S$5,0),S$5+6),"●",""))</f>
        <v/>
      </c>
      <c r="T30" s="53" t="str">
        <f ca="1">IF(OR(NOT(ISNUMBER(T$5)),N(Plano!$G27)=0,N(Plano!$K27)=0),"",IF(Plano!$K27+Plano!$G27*MAX(0,ROUNDUP((T$5-Plano!$K27)/Plano!$G27,0))&lt;=IF(DAY(T$5)&gt;=29,EOMONTH(T$5,0),T$5+6),"●",""))</f>
        <v/>
      </c>
      <c r="U30" s="54" t="str">
        <f ca="1">IF(OR(NOT(ISNUMBER(U$5)),N(Plano!$G27)=0,N(Plano!$K27)=0),"",IF(Plano!$K27+Plano!$G27*MAX(0,ROUNDUP((U$5-Plano!$K27)/Plano!$G27,0))&lt;=IF(DAY(U$5)&gt;=29,EOMONTH(U$5,0),U$5+6),"●",""))</f>
        <v/>
      </c>
      <c r="V30" s="53" t="str">
        <f ca="1">IF(OR(NOT(ISNUMBER(V$5)),N(Plano!$G27)=0,N(Plano!$K27)=0),"",IF(Plano!$K27+Plano!$G27*MAX(0,ROUNDUP((V$5-Plano!$K27)/Plano!$G27,0))&lt;=IF(DAY(V$5)&gt;=29,EOMONTH(V$5,0),V$5+6),"●",""))</f>
        <v/>
      </c>
      <c r="W30" s="53" t="str">
        <f ca="1">IF(OR(NOT(ISNUMBER(W$5)),N(Plano!$G27)=0,N(Plano!$K27)=0),"",IF(Plano!$K27+Plano!$G27*MAX(0,ROUNDUP((W$5-Plano!$K27)/Plano!$G27,0))&lt;=IF(DAY(W$5)&gt;=29,EOMONTH(W$5,0),W$5+6),"●",""))</f>
        <v/>
      </c>
      <c r="X30" s="53" t="str">
        <f ca="1">IF(OR(NOT(ISNUMBER(X$5)),N(Plano!$G27)=0,N(Plano!$K27)=0),"",IF(Plano!$K27+Plano!$G27*MAX(0,ROUNDUP((X$5-Plano!$K27)/Plano!$G27,0))&lt;=IF(DAY(X$5)&gt;=29,EOMONTH(X$5,0),X$5+6),"●",""))</f>
        <v/>
      </c>
      <c r="Y30" s="53" t="str">
        <f ca="1">IF(OR(NOT(ISNUMBER(Y$5)),N(Plano!$G27)=0,N(Plano!$K27)=0),"",IF(Plano!$K27+Plano!$G27*MAX(0,ROUNDUP((Y$5-Plano!$K27)/Plano!$G27,0))&lt;=IF(DAY(Y$5)&gt;=29,EOMONTH(Y$5,0),Y$5+6),"●",""))</f>
        <v/>
      </c>
      <c r="Z30" s="54" t="str">
        <f ca="1">IF(OR(NOT(ISNUMBER(Z$5)),N(Plano!$G27)=0,N(Plano!$K27)=0),"",IF(Plano!$K27+Plano!$G27*MAX(0,ROUNDUP((Z$5-Plano!$K27)/Plano!$G27,0))&lt;=IF(DAY(Z$5)&gt;=29,EOMONTH(Z$5,0),Z$5+6),"●",""))</f>
        <v/>
      </c>
      <c r="AA30" s="53" t="str">
        <f ca="1">IF(OR(NOT(ISNUMBER(AA$5)),N(Plano!$G27)=0,N(Plano!$K27)=0),"",IF(Plano!$K27+Plano!$G27*MAX(0,ROUNDUP((AA$5-Plano!$K27)/Plano!$G27,0))&lt;=IF(DAY(AA$5)&gt;=29,EOMONTH(AA$5,0),AA$5+6),"●",""))</f>
        <v/>
      </c>
      <c r="AB30" s="53" t="str">
        <f ca="1">IF(OR(NOT(ISNUMBER(AB$5)),N(Plano!$G27)=0,N(Plano!$K27)=0),"",IF(Plano!$K27+Plano!$G27*MAX(0,ROUNDUP((AB$5-Plano!$K27)/Plano!$G27,0))&lt;=IF(DAY(AB$5)&gt;=29,EOMONTH(AB$5,0),AB$5+6),"●",""))</f>
        <v/>
      </c>
      <c r="AC30" s="53" t="str">
        <f ca="1">IF(OR(NOT(ISNUMBER(AC$5)),N(Plano!$G27)=0,N(Plano!$K27)=0),"",IF(Plano!$K27+Plano!$G27*MAX(0,ROUNDUP((AC$5-Plano!$K27)/Plano!$G27,0))&lt;=IF(DAY(AC$5)&gt;=29,EOMONTH(AC$5,0),AC$5+6),"●",""))</f>
        <v/>
      </c>
      <c r="AD30" s="53" t="str">
        <f ca="1">IF(OR(NOT(ISNUMBER(AD$5)),N(Plano!$G27)=0,N(Plano!$K27)=0),"",IF(Plano!$K27+Plano!$G27*MAX(0,ROUNDUP((AD$5-Plano!$K27)/Plano!$G27,0))&lt;=IF(DAY(AD$5)&gt;=29,EOMONTH(AD$5,0),AD$5+6),"●",""))</f>
        <v/>
      </c>
      <c r="AE30" s="54" t="str">
        <f ca="1">IF(OR(NOT(ISNUMBER(AE$5)),N(Plano!$G27)=0,N(Plano!$K27)=0),"",IF(Plano!$K27+Plano!$G27*MAX(0,ROUNDUP((AE$5-Plano!$K27)/Plano!$G27,0))&lt;=IF(DAY(AE$5)&gt;=29,EOMONTH(AE$5,0),AE$5+6),"●",""))</f>
        <v/>
      </c>
      <c r="AF30" s="53" t="str">
        <f ca="1">IF(OR(NOT(ISNUMBER(AF$5)),N(Plano!$G27)=0,N(Plano!$K27)=0),"",IF(Plano!$K27+Plano!$G27*MAX(0,ROUNDUP((AF$5-Plano!$K27)/Plano!$G27,0))&lt;=IF(DAY(AF$5)&gt;=29,EOMONTH(AF$5,0),AF$5+6),"●",""))</f>
        <v/>
      </c>
      <c r="AG30" s="53" t="str">
        <f ca="1">IF(OR(NOT(ISNUMBER(AG$5)),N(Plano!$G27)=0,N(Plano!$K27)=0),"",IF(Plano!$K27+Plano!$G27*MAX(0,ROUNDUP((AG$5-Plano!$K27)/Plano!$G27,0))&lt;=IF(DAY(AG$5)&gt;=29,EOMONTH(AG$5,0),AG$5+6),"●",""))</f>
        <v/>
      </c>
      <c r="AH30" s="53" t="str">
        <f ca="1">IF(OR(NOT(ISNUMBER(AH$5)),N(Plano!$G27)=0,N(Plano!$K27)=0),"",IF(Plano!$K27+Plano!$G27*MAX(0,ROUNDUP((AH$5-Plano!$K27)/Plano!$G27,0))&lt;=IF(DAY(AH$5)&gt;=29,EOMONTH(AH$5,0),AH$5+6),"●",""))</f>
        <v/>
      </c>
      <c r="AI30" s="53" t="str">
        <f ca="1">IF(OR(NOT(ISNUMBER(AI$5)),N(Plano!$G27)=0,N(Plano!$K27)=0),"",IF(Plano!$K27+Plano!$G27*MAX(0,ROUNDUP((AI$5-Plano!$K27)/Plano!$G27,0))&lt;=IF(DAY(AI$5)&gt;=29,EOMONTH(AI$5,0),AI$5+6),"●",""))</f>
        <v/>
      </c>
      <c r="AJ30" s="54" t="str">
        <f ca="1">IF(OR(NOT(ISNUMBER(AJ$5)),N(Plano!$G27)=0,N(Plano!$K27)=0),"",IF(Plano!$K27+Plano!$G27*MAX(0,ROUNDUP((AJ$5-Plano!$K27)/Plano!$G27,0))&lt;=IF(DAY(AJ$5)&gt;=29,EOMONTH(AJ$5,0),AJ$5+6),"●",""))</f>
        <v/>
      </c>
      <c r="AK30" s="53" t="str">
        <f ca="1">IF(OR(NOT(ISNUMBER(AK$5)),N(Plano!$G27)=0,N(Plano!$K27)=0),"",IF(Plano!$K27+Plano!$G27*MAX(0,ROUNDUP((AK$5-Plano!$K27)/Plano!$G27,0))&lt;=IF(DAY(AK$5)&gt;=29,EOMONTH(AK$5,0),AK$5+6),"●",""))</f>
        <v/>
      </c>
      <c r="AL30" s="53" t="str">
        <f ca="1">IF(OR(NOT(ISNUMBER(AL$5)),N(Plano!$G27)=0,N(Plano!$K27)=0),"",IF(Plano!$K27+Plano!$G27*MAX(0,ROUNDUP((AL$5-Plano!$K27)/Plano!$G27,0))&lt;=IF(DAY(AL$5)&gt;=29,EOMONTH(AL$5,0),AL$5+6),"●",""))</f>
        <v/>
      </c>
      <c r="AM30" s="53" t="str">
        <f ca="1">IF(OR(NOT(ISNUMBER(AM$5)),N(Plano!$G27)=0,N(Plano!$K27)=0),"",IF(Plano!$K27+Plano!$G27*MAX(0,ROUNDUP((AM$5-Plano!$K27)/Plano!$G27,0))&lt;=IF(DAY(AM$5)&gt;=29,EOMONTH(AM$5,0),AM$5+6),"●",""))</f>
        <v/>
      </c>
      <c r="AN30" s="53" t="str">
        <f ca="1">IF(OR(NOT(ISNUMBER(AN$5)),N(Plano!$G27)=0,N(Plano!$K27)=0),"",IF(Plano!$K27+Plano!$G27*MAX(0,ROUNDUP((AN$5-Plano!$K27)/Plano!$G27,0))&lt;=IF(DAY(AN$5)&gt;=29,EOMONTH(AN$5,0),AN$5+6),"●",""))</f>
        <v/>
      </c>
      <c r="AO30" s="54" t="str">
        <f ca="1">IF(OR(NOT(ISNUMBER(AO$5)),N(Plano!$G27)=0,N(Plano!$K27)=0),"",IF(Plano!$K27+Plano!$G27*MAX(0,ROUNDUP((AO$5-Plano!$K27)/Plano!$G27,0))&lt;=IF(DAY(AO$5)&gt;=29,EOMONTH(AO$5,0),AO$5+6),"●",""))</f>
        <v/>
      </c>
      <c r="AP30" s="53" t="str">
        <f ca="1">IF(OR(NOT(ISNUMBER(AP$5)),N(Plano!$G27)=0,N(Plano!$K27)=0),"",IF(Plano!$K27+Plano!$G27*MAX(0,ROUNDUP((AP$5-Plano!$K27)/Plano!$G27,0))&lt;=IF(DAY(AP$5)&gt;=29,EOMONTH(AP$5,0),AP$5+6),"●",""))</f>
        <v/>
      </c>
      <c r="AQ30" s="53" t="str">
        <f ca="1">IF(OR(NOT(ISNUMBER(AQ$5)),N(Plano!$G27)=0,N(Plano!$K27)=0),"",IF(Plano!$K27+Plano!$G27*MAX(0,ROUNDUP((AQ$5-Plano!$K27)/Plano!$G27,0))&lt;=IF(DAY(AQ$5)&gt;=29,EOMONTH(AQ$5,0),AQ$5+6),"●",""))</f>
        <v/>
      </c>
      <c r="AR30" s="53" t="str">
        <f ca="1">IF(OR(NOT(ISNUMBER(AR$5)),N(Plano!$G27)=0,N(Plano!$K27)=0),"",IF(Plano!$K27+Plano!$G27*MAX(0,ROUNDUP((AR$5-Plano!$K27)/Plano!$G27,0))&lt;=IF(DAY(AR$5)&gt;=29,EOMONTH(AR$5,0),AR$5+6),"●",""))</f>
        <v/>
      </c>
      <c r="AS30" s="53" t="str">
        <f ca="1">IF(OR(NOT(ISNUMBER(AS$5)),N(Plano!$G27)=0,N(Plano!$K27)=0),"",IF(Plano!$K27+Plano!$G27*MAX(0,ROUNDUP((AS$5-Plano!$K27)/Plano!$G27,0))&lt;=IF(DAY(AS$5)&gt;=29,EOMONTH(AS$5,0),AS$5+6),"●",""))</f>
        <v/>
      </c>
      <c r="AT30" s="54" t="str">
        <f ca="1">IF(OR(NOT(ISNUMBER(AT$5)),N(Plano!$G27)=0,N(Plano!$K27)=0),"",IF(Plano!$K27+Plano!$G27*MAX(0,ROUNDUP((AT$5-Plano!$K27)/Plano!$G27,0))&lt;=IF(DAY(AT$5)&gt;=29,EOMONTH(AT$5,0),AT$5+6),"●",""))</f>
        <v/>
      </c>
      <c r="AU30" s="53" t="str">
        <f ca="1">IF(OR(NOT(ISNUMBER(AU$5)),N(Plano!$G27)=0,N(Plano!$K27)=0),"",IF(Plano!$K27+Plano!$G27*MAX(0,ROUNDUP((AU$5-Plano!$K27)/Plano!$G27,0))&lt;=IF(DAY(AU$5)&gt;=29,EOMONTH(AU$5,0),AU$5+6),"●",""))</f>
        <v/>
      </c>
      <c r="AV30" s="53" t="str">
        <f ca="1">IF(OR(NOT(ISNUMBER(AV$5)),N(Plano!$G27)=0,N(Plano!$K27)=0),"",IF(Plano!$K27+Plano!$G27*MAX(0,ROUNDUP((AV$5-Plano!$K27)/Plano!$G27,0))&lt;=IF(DAY(AV$5)&gt;=29,EOMONTH(AV$5,0),AV$5+6),"●",""))</f>
        <v/>
      </c>
      <c r="AW30" s="53" t="str">
        <f ca="1">IF(OR(NOT(ISNUMBER(AW$5)),N(Plano!$G27)=0,N(Plano!$K27)=0),"",IF(Plano!$K27+Plano!$G27*MAX(0,ROUNDUP((AW$5-Plano!$K27)/Plano!$G27,0))&lt;=IF(DAY(AW$5)&gt;=29,EOMONTH(AW$5,0),AW$5+6),"●",""))</f>
        <v/>
      </c>
      <c r="AX30" s="53" t="str">
        <f ca="1">IF(OR(NOT(ISNUMBER(AX$5)),N(Plano!$G27)=0,N(Plano!$K27)=0),"",IF(Plano!$K27+Plano!$G27*MAX(0,ROUNDUP((AX$5-Plano!$K27)/Plano!$G27,0))&lt;=IF(DAY(AX$5)&gt;=29,EOMONTH(AX$5,0),AX$5+6),"●",""))</f>
        <v/>
      </c>
      <c r="AY30" s="54" t="str">
        <f ca="1">IF(OR(NOT(ISNUMBER(AY$5)),N(Plano!$G27)=0,N(Plano!$K27)=0),"",IF(Plano!$K27+Plano!$G27*MAX(0,ROUNDUP((AY$5-Plano!$K27)/Plano!$G27,0))&lt;=IF(DAY(AY$5)&gt;=29,EOMONTH(AY$5,0),AY$5+6),"●",""))</f>
        <v/>
      </c>
      <c r="AZ30" s="53" t="str">
        <f ca="1">IF(OR(NOT(ISNUMBER(AZ$5)),N(Plano!$G27)=0,N(Plano!$K27)=0),"",IF(Plano!$K27+Plano!$G27*MAX(0,ROUNDUP((AZ$5-Plano!$K27)/Plano!$G27,0))&lt;=IF(DAY(AZ$5)&gt;=29,EOMONTH(AZ$5,0),AZ$5+6),"●",""))</f>
        <v/>
      </c>
      <c r="BA30" s="53" t="str">
        <f ca="1">IF(OR(NOT(ISNUMBER(BA$5)),N(Plano!$G27)=0,N(Plano!$K27)=0),"",IF(Plano!$K27+Plano!$G27*MAX(0,ROUNDUP((BA$5-Plano!$K27)/Plano!$G27,0))&lt;=IF(DAY(BA$5)&gt;=29,EOMONTH(BA$5,0),BA$5+6),"●",""))</f>
        <v/>
      </c>
      <c r="BB30" s="53" t="str">
        <f ca="1">IF(OR(NOT(ISNUMBER(BB$5)),N(Plano!$G27)=0,N(Plano!$K27)=0),"",IF(Plano!$K27+Plano!$G27*MAX(0,ROUNDUP((BB$5-Plano!$K27)/Plano!$G27,0))&lt;=IF(DAY(BB$5)&gt;=29,EOMONTH(BB$5,0),BB$5+6),"●",""))</f>
        <v/>
      </c>
      <c r="BC30" s="53" t="str">
        <f ca="1">IF(OR(NOT(ISNUMBER(BC$5)),N(Plano!$G27)=0,N(Plano!$K27)=0),"",IF(Plano!$K27+Plano!$G27*MAX(0,ROUNDUP((BC$5-Plano!$K27)/Plano!$G27,0))&lt;=IF(DAY(BC$5)&gt;=29,EOMONTH(BC$5,0),BC$5+6),"●",""))</f>
        <v/>
      </c>
      <c r="BD30" s="54" t="str">
        <f ca="1">IF(OR(NOT(ISNUMBER(BD$5)),N(Plano!$G27)=0,N(Plano!$K27)=0),"",IF(Plano!$K27+Plano!$G27*MAX(0,ROUNDUP((BD$5-Plano!$K27)/Plano!$G27,0))&lt;=IF(DAY(BD$5)&gt;=29,EOMONTH(BD$5,0),BD$5+6),"●",""))</f>
        <v/>
      </c>
      <c r="BE30" s="53" t="str">
        <f ca="1">IF(OR(NOT(ISNUMBER(BE$5)),N(Plano!$G27)=0,N(Plano!$K27)=0),"",IF(Plano!$K27+Plano!$G27*MAX(0,ROUNDUP((BE$5-Plano!$K27)/Plano!$G27,0))&lt;=IF(DAY(BE$5)&gt;=29,EOMONTH(BE$5,0),BE$5+6),"●",""))</f>
        <v/>
      </c>
      <c r="BF30" s="53" t="str">
        <f ca="1">IF(OR(NOT(ISNUMBER(BF$5)),N(Plano!$G27)=0,N(Plano!$K27)=0),"",IF(Plano!$K27+Plano!$G27*MAX(0,ROUNDUP((BF$5-Plano!$K27)/Plano!$G27,0))&lt;=IF(DAY(BF$5)&gt;=29,EOMONTH(BF$5,0),BF$5+6),"●",""))</f>
        <v/>
      </c>
      <c r="BG30" s="53" t="str">
        <f ca="1">IF(OR(NOT(ISNUMBER(BG$5)),N(Plano!$G27)=0,N(Plano!$K27)=0),"",IF(Plano!$K27+Plano!$G27*MAX(0,ROUNDUP((BG$5-Plano!$K27)/Plano!$G27,0))&lt;=IF(DAY(BG$5)&gt;=29,EOMONTH(BG$5,0),BG$5+6),"●",""))</f>
        <v/>
      </c>
      <c r="BH30" s="53" t="str">
        <f ca="1">IF(OR(NOT(ISNUMBER(BH$5)),N(Plano!$G27)=0,N(Plano!$K27)=0),"",IF(Plano!$K27+Plano!$G27*MAX(0,ROUNDUP((BH$5-Plano!$K27)/Plano!$G27,0))&lt;=IF(DAY(BH$5)&gt;=29,EOMONTH(BH$5,0),BH$5+6),"●",""))</f>
        <v/>
      </c>
      <c r="BI30" s="54" t="str">
        <f ca="1">IF(OR(NOT(ISNUMBER(BI$5)),N(Plano!$G27)=0,N(Plano!$K27)=0),"",IF(Plano!$K27+Plano!$G27*MAX(0,ROUNDUP((BI$5-Plano!$K27)/Plano!$G27,0))&lt;=IF(DAY(BI$5)&gt;=29,EOMONTH(BI$5,0),BI$5+6),"●",""))</f>
        <v/>
      </c>
      <c r="BJ30" s="53" t="str">
        <f ca="1">IF(OR(NOT(ISNUMBER(BJ$5)),N(Plano!$G27)=0,N(Plano!$K27)=0),"",IF(Plano!$K27+Plano!$G27*MAX(0,ROUNDUP((BJ$5-Plano!$K27)/Plano!$G27,0))&lt;=IF(DAY(BJ$5)&gt;=29,EOMONTH(BJ$5,0),BJ$5+6),"●",""))</f>
        <v/>
      </c>
      <c r="BK30" s="53" t="str">
        <f ca="1">IF(OR(NOT(ISNUMBER(BK$5)),N(Plano!$G27)=0,N(Plano!$K27)=0),"",IF(Plano!$K27+Plano!$G27*MAX(0,ROUNDUP((BK$5-Plano!$K27)/Plano!$G27,0))&lt;=IF(DAY(BK$5)&gt;=29,EOMONTH(BK$5,0),BK$5+6),"●",""))</f>
        <v/>
      </c>
      <c r="BL30" s="53" t="str">
        <f ca="1">IF(OR(NOT(ISNUMBER(BL$5)),N(Plano!$G27)=0,N(Plano!$K27)=0),"",IF(Plano!$K27+Plano!$G27*MAX(0,ROUNDUP((BL$5-Plano!$K27)/Plano!$G27,0))&lt;=IF(DAY(BL$5)&gt;=29,EOMONTH(BL$5,0),BL$5+6),"●",""))</f>
        <v/>
      </c>
      <c r="BM30" s="55" t="str">
        <f ca="1">IF(OR(NOT(ISNUMBER(BM$5)),N(Plano!$G27)=0,N(Plano!$K27)=0),"",IF(Plano!$K27+Plano!$G27*MAX(0,ROUNDUP((BM$5-Plano!$K27)/Plano!$G27,0))&lt;=IF(DAY(BM$5)&gt;=29,EOMONTH(BM$5,0),BM$5+6),"●",""))</f>
        <v/>
      </c>
    </row>
    <row r="31" spans="1:65" ht="18" customHeight="1">
      <c r="A31" s="40">
        <f>Plano!A28</f>
        <v>23</v>
      </c>
      <c r="B31" s="51" t="str">
        <f>IF(Plano!B28="","",Plano!B28)</f>
        <v/>
      </c>
      <c r="C31" s="20" t="str">
        <f>IF(B31="","",IFERROR(INDEX(tb_pcm_ativos[descricao_ativo],MATCH(B31,tb_pcm_ativos[tag],0)),"fora do cadastro"))</f>
        <v/>
      </c>
      <c r="D31" s="20" t="str">
        <f>IF(Plano!E28="","",Plano!E28)</f>
        <v/>
      </c>
      <c r="E31" s="52" t="str">
        <f>IF(Plano!G28="","",Plano!G28)</f>
        <v/>
      </c>
      <c r="F31" s="53" t="str">
        <f ca="1">IF(OR(NOT(ISNUMBER(F$5)),N(Plano!$G28)=0,N(Plano!$K28)=0),"",IF(Plano!$K28+Plano!$G28*MAX(0,ROUNDUP((F$5-Plano!$K28)/Plano!$G28,0))&lt;=IF(DAY(F$5)&gt;=29,EOMONTH(F$5,0),F$5+6),"●",""))</f>
        <v/>
      </c>
      <c r="G31" s="53" t="str">
        <f ca="1">IF(OR(NOT(ISNUMBER(G$5)),N(Plano!$G28)=0,N(Plano!$K28)=0),"",IF(Plano!$K28+Plano!$G28*MAX(0,ROUNDUP((G$5-Plano!$K28)/Plano!$G28,0))&lt;=IF(DAY(G$5)&gt;=29,EOMONTH(G$5,0),G$5+6),"●",""))</f>
        <v/>
      </c>
      <c r="H31" s="53" t="str">
        <f ca="1">IF(OR(NOT(ISNUMBER(H$5)),N(Plano!$G28)=0,N(Plano!$K28)=0),"",IF(Plano!$K28+Plano!$G28*MAX(0,ROUNDUP((H$5-Plano!$K28)/Plano!$G28,0))&lt;=IF(DAY(H$5)&gt;=29,EOMONTH(H$5,0),H$5+6),"●",""))</f>
        <v/>
      </c>
      <c r="I31" s="53" t="str">
        <f ca="1">IF(OR(NOT(ISNUMBER(I$5)),N(Plano!$G28)=0,N(Plano!$K28)=0),"",IF(Plano!$K28+Plano!$G28*MAX(0,ROUNDUP((I$5-Plano!$K28)/Plano!$G28,0))&lt;=IF(DAY(I$5)&gt;=29,EOMONTH(I$5,0),I$5+6),"●",""))</f>
        <v/>
      </c>
      <c r="J31" s="53" t="str">
        <f ca="1">IF(OR(NOT(ISNUMBER(J$5)),N(Plano!$G28)=0,N(Plano!$K28)=0),"",IF(Plano!$K28+Plano!$G28*MAX(0,ROUNDUP((J$5-Plano!$K28)/Plano!$G28,0))&lt;=IF(DAY(J$5)&gt;=29,EOMONTH(J$5,0),J$5+6),"●",""))</f>
        <v/>
      </c>
      <c r="K31" s="54" t="str">
        <f ca="1">IF(OR(NOT(ISNUMBER(K$5)),N(Plano!$G28)=0,N(Plano!$K28)=0),"",IF(Plano!$K28+Plano!$G28*MAX(0,ROUNDUP((K$5-Plano!$K28)/Plano!$G28,0))&lt;=IF(DAY(K$5)&gt;=29,EOMONTH(K$5,0),K$5+6),"●",""))</f>
        <v/>
      </c>
      <c r="L31" s="53" t="str">
        <f ca="1">IF(OR(NOT(ISNUMBER(L$5)),N(Plano!$G28)=0,N(Plano!$K28)=0),"",IF(Plano!$K28+Plano!$G28*MAX(0,ROUNDUP((L$5-Plano!$K28)/Plano!$G28,0))&lt;=IF(DAY(L$5)&gt;=29,EOMONTH(L$5,0),L$5+6),"●",""))</f>
        <v/>
      </c>
      <c r="M31" s="53" t="str">
        <f ca="1">IF(OR(NOT(ISNUMBER(M$5)),N(Plano!$G28)=0,N(Plano!$K28)=0),"",IF(Plano!$K28+Plano!$G28*MAX(0,ROUNDUP((M$5-Plano!$K28)/Plano!$G28,0))&lt;=IF(DAY(M$5)&gt;=29,EOMONTH(M$5,0),M$5+6),"●",""))</f>
        <v/>
      </c>
      <c r="N31" s="53" t="str">
        <f ca="1">IF(OR(NOT(ISNUMBER(N$5)),N(Plano!$G28)=0,N(Plano!$K28)=0),"",IF(Plano!$K28+Plano!$G28*MAX(0,ROUNDUP((N$5-Plano!$K28)/Plano!$G28,0))&lt;=IF(DAY(N$5)&gt;=29,EOMONTH(N$5,0),N$5+6),"●",""))</f>
        <v/>
      </c>
      <c r="O31" s="53" t="str">
        <f ca="1">IF(OR(NOT(ISNUMBER(O$5)),N(Plano!$G28)=0,N(Plano!$K28)=0),"",IF(Plano!$K28+Plano!$G28*MAX(0,ROUNDUP((O$5-Plano!$K28)/Plano!$G28,0))&lt;=IF(DAY(O$5)&gt;=29,EOMONTH(O$5,0),O$5+6),"●",""))</f>
        <v/>
      </c>
      <c r="P31" s="54" t="str">
        <f ca="1">IF(OR(NOT(ISNUMBER(P$5)),N(Plano!$G28)=0,N(Plano!$K28)=0),"",IF(Plano!$K28+Plano!$G28*MAX(0,ROUNDUP((P$5-Plano!$K28)/Plano!$G28,0))&lt;=IF(DAY(P$5)&gt;=29,EOMONTH(P$5,0),P$5+6),"●",""))</f>
        <v/>
      </c>
      <c r="Q31" s="53" t="str">
        <f ca="1">IF(OR(NOT(ISNUMBER(Q$5)),N(Plano!$G28)=0,N(Plano!$K28)=0),"",IF(Plano!$K28+Plano!$G28*MAX(0,ROUNDUP((Q$5-Plano!$K28)/Plano!$G28,0))&lt;=IF(DAY(Q$5)&gt;=29,EOMONTH(Q$5,0),Q$5+6),"●",""))</f>
        <v/>
      </c>
      <c r="R31" s="53" t="str">
        <f ca="1">IF(OR(NOT(ISNUMBER(R$5)),N(Plano!$G28)=0,N(Plano!$K28)=0),"",IF(Plano!$K28+Plano!$G28*MAX(0,ROUNDUP((R$5-Plano!$K28)/Plano!$G28,0))&lt;=IF(DAY(R$5)&gt;=29,EOMONTH(R$5,0),R$5+6),"●",""))</f>
        <v/>
      </c>
      <c r="S31" s="53" t="str">
        <f ca="1">IF(OR(NOT(ISNUMBER(S$5)),N(Plano!$G28)=0,N(Plano!$K28)=0),"",IF(Plano!$K28+Plano!$G28*MAX(0,ROUNDUP((S$5-Plano!$K28)/Plano!$G28,0))&lt;=IF(DAY(S$5)&gt;=29,EOMONTH(S$5,0),S$5+6),"●",""))</f>
        <v/>
      </c>
      <c r="T31" s="53" t="str">
        <f ca="1">IF(OR(NOT(ISNUMBER(T$5)),N(Plano!$G28)=0,N(Plano!$K28)=0),"",IF(Plano!$K28+Plano!$G28*MAX(0,ROUNDUP((T$5-Plano!$K28)/Plano!$G28,0))&lt;=IF(DAY(T$5)&gt;=29,EOMONTH(T$5,0),T$5+6),"●",""))</f>
        <v/>
      </c>
      <c r="U31" s="54" t="str">
        <f ca="1">IF(OR(NOT(ISNUMBER(U$5)),N(Plano!$G28)=0,N(Plano!$K28)=0),"",IF(Plano!$K28+Plano!$G28*MAX(0,ROUNDUP((U$5-Plano!$K28)/Plano!$G28,0))&lt;=IF(DAY(U$5)&gt;=29,EOMONTH(U$5,0),U$5+6),"●",""))</f>
        <v/>
      </c>
      <c r="V31" s="53" t="str">
        <f ca="1">IF(OR(NOT(ISNUMBER(V$5)),N(Plano!$G28)=0,N(Plano!$K28)=0),"",IF(Plano!$K28+Plano!$G28*MAX(0,ROUNDUP((V$5-Plano!$K28)/Plano!$G28,0))&lt;=IF(DAY(V$5)&gt;=29,EOMONTH(V$5,0),V$5+6),"●",""))</f>
        <v/>
      </c>
      <c r="W31" s="53" t="str">
        <f ca="1">IF(OR(NOT(ISNUMBER(W$5)),N(Plano!$G28)=0,N(Plano!$K28)=0),"",IF(Plano!$K28+Plano!$G28*MAX(0,ROUNDUP((W$5-Plano!$K28)/Plano!$G28,0))&lt;=IF(DAY(W$5)&gt;=29,EOMONTH(W$5,0),W$5+6),"●",""))</f>
        <v/>
      </c>
      <c r="X31" s="53" t="str">
        <f ca="1">IF(OR(NOT(ISNUMBER(X$5)),N(Plano!$G28)=0,N(Plano!$K28)=0),"",IF(Plano!$K28+Plano!$G28*MAX(0,ROUNDUP((X$5-Plano!$K28)/Plano!$G28,0))&lt;=IF(DAY(X$5)&gt;=29,EOMONTH(X$5,0),X$5+6),"●",""))</f>
        <v/>
      </c>
      <c r="Y31" s="53" t="str">
        <f ca="1">IF(OR(NOT(ISNUMBER(Y$5)),N(Plano!$G28)=0,N(Plano!$K28)=0),"",IF(Plano!$K28+Plano!$G28*MAX(0,ROUNDUP((Y$5-Plano!$K28)/Plano!$G28,0))&lt;=IF(DAY(Y$5)&gt;=29,EOMONTH(Y$5,0),Y$5+6),"●",""))</f>
        <v/>
      </c>
      <c r="Z31" s="54" t="str">
        <f ca="1">IF(OR(NOT(ISNUMBER(Z$5)),N(Plano!$G28)=0,N(Plano!$K28)=0),"",IF(Plano!$K28+Plano!$G28*MAX(0,ROUNDUP((Z$5-Plano!$K28)/Plano!$G28,0))&lt;=IF(DAY(Z$5)&gt;=29,EOMONTH(Z$5,0),Z$5+6),"●",""))</f>
        <v/>
      </c>
      <c r="AA31" s="53" t="str">
        <f ca="1">IF(OR(NOT(ISNUMBER(AA$5)),N(Plano!$G28)=0,N(Plano!$K28)=0),"",IF(Plano!$K28+Plano!$G28*MAX(0,ROUNDUP((AA$5-Plano!$K28)/Plano!$G28,0))&lt;=IF(DAY(AA$5)&gt;=29,EOMONTH(AA$5,0),AA$5+6),"●",""))</f>
        <v/>
      </c>
      <c r="AB31" s="53" t="str">
        <f ca="1">IF(OR(NOT(ISNUMBER(AB$5)),N(Plano!$G28)=0,N(Plano!$K28)=0),"",IF(Plano!$K28+Plano!$G28*MAX(0,ROUNDUP((AB$5-Plano!$K28)/Plano!$G28,0))&lt;=IF(DAY(AB$5)&gt;=29,EOMONTH(AB$5,0),AB$5+6),"●",""))</f>
        <v/>
      </c>
      <c r="AC31" s="53" t="str">
        <f ca="1">IF(OR(NOT(ISNUMBER(AC$5)),N(Plano!$G28)=0,N(Plano!$K28)=0),"",IF(Plano!$K28+Plano!$G28*MAX(0,ROUNDUP((AC$5-Plano!$K28)/Plano!$G28,0))&lt;=IF(DAY(AC$5)&gt;=29,EOMONTH(AC$5,0),AC$5+6),"●",""))</f>
        <v/>
      </c>
      <c r="AD31" s="53" t="str">
        <f ca="1">IF(OR(NOT(ISNUMBER(AD$5)),N(Plano!$G28)=0,N(Plano!$K28)=0),"",IF(Plano!$K28+Plano!$G28*MAX(0,ROUNDUP((AD$5-Plano!$K28)/Plano!$G28,0))&lt;=IF(DAY(AD$5)&gt;=29,EOMONTH(AD$5,0),AD$5+6),"●",""))</f>
        <v/>
      </c>
      <c r="AE31" s="54" t="str">
        <f ca="1">IF(OR(NOT(ISNUMBER(AE$5)),N(Plano!$G28)=0,N(Plano!$K28)=0),"",IF(Plano!$K28+Plano!$G28*MAX(0,ROUNDUP((AE$5-Plano!$K28)/Plano!$G28,0))&lt;=IF(DAY(AE$5)&gt;=29,EOMONTH(AE$5,0),AE$5+6),"●",""))</f>
        <v/>
      </c>
      <c r="AF31" s="53" t="str">
        <f ca="1">IF(OR(NOT(ISNUMBER(AF$5)),N(Plano!$G28)=0,N(Plano!$K28)=0),"",IF(Plano!$K28+Plano!$G28*MAX(0,ROUNDUP((AF$5-Plano!$K28)/Plano!$G28,0))&lt;=IF(DAY(AF$5)&gt;=29,EOMONTH(AF$5,0),AF$5+6),"●",""))</f>
        <v/>
      </c>
      <c r="AG31" s="53" t="str">
        <f ca="1">IF(OR(NOT(ISNUMBER(AG$5)),N(Plano!$G28)=0,N(Plano!$K28)=0),"",IF(Plano!$K28+Plano!$G28*MAX(0,ROUNDUP((AG$5-Plano!$K28)/Plano!$G28,0))&lt;=IF(DAY(AG$5)&gt;=29,EOMONTH(AG$5,0),AG$5+6),"●",""))</f>
        <v/>
      </c>
      <c r="AH31" s="53" t="str">
        <f ca="1">IF(OR(NOT(ISNUMBER(AH$5)),N(Plano!$G28)=0,N(Plano!$K28)=0),"",IF(Plano!$K28+Plano!$G28*MAX(0,ROUNDUP((AH$5-Plano!$K28)/Plano!$G28,0))&lt;=IF(DAY(AH$5)&gt;=29,EOMONTH(AH$5,0),AH$5+6),"●",""))</f>
        <v/>
      </c>
      <c r="AI31" s="53" t="str">
        <f ca="1">IF(OR(NOT(ISNUMBER(AI$5)),N(Plano!$G28)=0,N(Plano!$K28)=0),"",IF(Plano!$K28+Plano!$G28*MAX(0,ROUNDUP((AI$5-Plano!$K28)/Plano!$G28,0))&lt;=IF(DAY(AI$5)&gt;=29,EOMONTH(AI$5,0),AI$5+6),"●",""))</f>
        <v/>
      </c>
      <c r="AJ31" s="54" t="str">
        <f ca="1">IF(OR(NOT(ISNUMBER(AJ$5)),N(Plano!$G28)=0,N(Plano!$K28)=0),"",IF(Plano!$K28+Plano!$G28*MAX(0,ROUNDUP((AJ$5-Plano!$K28)/Plano!$G28,0))&lt;=IF(DAY(AJ$5)&gt;=29,EOMONTH(AJ$5,0),AJ$5+6),"●",""))</f>
        <v/>
      </c>
      <c r="AK31" s="53" t="str">
        <f ca="1">IF(OR(NOT(ISNUMBER(AK$5)),N(Plano!$G28)=0,N(Plano!$K28)=0),"",IF(Plano!$K28+Plano!$G28*MAX(0,ROUNDUP((AK$5-Plano!$K28)/Plano!$G28,0))&lt;=IF(DAY(AK$5)&gt;=29,EOMONTH(AK$5,0),AK$5+6),"●",""))</f>
        <v/>
      </c>
      <c r="AL31" s="53" t="str">
        <f ca="1">IF(OR(NOT(ISNUMBER(AL$5)),N(Plano!$G28)=0,N(Plano!$K28)=0),"",IF(Plano!$K28+Plano!$G28*MAX(0,ROUNDUP((AL$5-Plano!$K28)/Plano!$G28,0))&lt;=IF(DAY(AL$5)&gt;=29,EOMONTH(AL$5,0),AL$5+6),"●",""))</f>
        <v/>
      </c>
      <c r="AM31" s="53" t="str">
        <f ca="1">IF(OR(NOT(ISNUMBER(AM$5)),N(Plano!$G28)=0,N(Plano!$K28)=0),"",IF(Plano!$K28+Plano!$G28*MAX(0,ROUNDUP((AM$5-Plano!$K28)/Plano!$G28,0))&lt;=IF(DAY(AM$5)&gt;=29,EOMONTH(AM$5,0),AM$5+6),"●",""))</f>
        <v/>
      </c>
      <c r="AN31" s="53" t="str">
        <f ca="1">IF(OR(NOT(ISNUMBER(AN$5)),N(Plano!$G28)=0,N(Plano!$K28)=0),"",IF(Plano!$K28+Plano!$G28*MAX(0,ROUNDUP((AN$5-Plano!$K28)/Plano!$G28,0))&lt;=IF(DAY(AN$5)&gt;=29,EOMONTH(AN$5,0),AN$5+6),"●",""))</f>
        <v/>
      </c>
      <c r="AO31" s="54" t="str">
        <f ca="1">IF(OR(NOT(ISNUMBER(AO$5)),N(Plano!$G28)=0,N(Plano!$K28)=0),"",IF(Plano!$K28+Plano!$G28*MAX(0,ROUNDUP((AO$5-Plano!$K28)/Plano!$G28,0))&lt;=IF(DAY(AO$5)&gt;=29,EOMONTH(AO$5,0),AO$5+6),"●",""))</f>
        <v/>
      </c>
      <c r="AP31" s="53" t="str">
        <f ca="1">IF(OR(NOT(ISNUMBER(AP$5)),N(Plano!$G28)=0,N(Plano!$K28)=0),"",IF(Plano!$K28+Plano!$G28*MAX(0,ROUNDUP((AP$5-Plano!$K28)/Plano!$G28,0))&lt;=IF(DAY(AP$5)&gt;=29,EOMONTH(AP$5,0),AP$5+6),"●",""))</f>
        <v/>
      </c>
      <c r="AQ31" s="53" t="str">
        <f ca="1">IF(OR(NOT(ISNUMBER(AQ$5)),N(Plano!$G28)=0,N(Plano!$K28)=0),"",IF(Plano!$K28+Plano!$G28*MAX(0,ROUNDUP((AQ$5-Plano!$K28)/Plano!$G28,0))&lt;=IF(DAY(AQ$5)&gt;=29,EOMONTH(AQ$5,0),AQ$5+6),"●",""))</f>
        <v/>
      </c>
      <c r="AR31" s="53" t="str">
        <f ca="1">IF(OR(NOT(ISNUMBER(AR$5)),N(Plano!$G28)=0,N(Plano!$K28)=0),"",IF(Plano!$K28+Plano!$G28*MAX(0,ROUNDUP((AR$5-Plano!$K28)/Plano!$G28,0))&lt;=IF(DAY(AR$5)&gt;=29,EOMONTH(AR$5,0),AR$5+6),"●",""))</f>
        <v/>
      </c>
      <c r="AS31" s="53" t="str">
        <f ca="1">IF(OR(NOT(ISNUMBER(AS$5)),N(Plano!$G28)=0,N(Plano!$K28)=0),"",IF(Plano!$K28+Plano!$G28*MAX(0,ROUNDUP((AS$5-Plano!$K28)/Plano!$G28,0))&lt;=IF(DAY(AS$5)&gt;=29,EOMONTH(AS$5,0),AS$5+6),"●",""))</f>
        <v/>
      </c>
      <c r="AT31" s="54" t="str">
        <f ca="1">IF(OR(NOT(ISNUMBER(AT$5)),N(Plano!$G28)=0,N(Plano!$K28)=0),"",IF(Plano!$K28+Plano!$G28*MAX(0,ROUNDUP((AT$5-Plano!$K28)/Plano!$G28,0))&lt;=IF(DAY(AT$5)&gt;=29,EOMONTH(AT$5,0),AT$5+6),"●",""))</f>
        <v/>
      </c>
      <c r="AU31" s="53" t="str">
        <f ca="1">IF(OR(NOT(ISNUMBER(AU$5)),N(Plano!$G28)=0,N(Plano!$K28)=0),"",IF(Plano!$K28+Plano!$G28*MAX(0,ROUNDUP((AU$5-Plano!$K28)/Plano!$G28,0))&lt;=IF(DAY(AU$5)&gt;=29,EOMONTH(AU$5,0),AU$5+6),"●",""))</f>
        <v/>
      </c>
      <c r="AV31" s="53" t="str">
        <f ca="1">IF(OR(NOT(ISNUMBER(AV$5)),N(Plano!$G28)=0,N(Plano!$K28)=0),"",IF(Plano!$K28+Plano!$G28*MAX(0,ROUNDUP((AV$5-Plano!$K28)/Plano!$G28,0))&lt;=IF(DAY(AV$5)&gt;=29,EOMONTH(AV$5,0),AV$5+6),"●",""))</f>
        <v/>
      </c>
      <c r="AW31" s="53" t="str">
        <f ca="1">IF(OR(NOT(ISNUMBER(AW$5)),N(Plano!$G28)=0,N(Plano!$K28)=0),"",IF(Plano!$K28+Plano!$G28*MAX(0,ROUNDUP((AW$5-Plano!$K28)/Plano!$G28,0))&lt;=IF(DAY(AW$5)&gt;=29,EOMONTH(AW$5,0),AW$5+6),"●",""))</f>
        <v/>
      </c>
      <c r="AX31" s="53" t="str">
        <f ca="1">IF(OR(NOT(ISNUMBER(AX$5)),N(Plano!$G28)=0,N(Plano!$K28)=0),"",IF(Plano!$K28+Plano!$G28*MAX(0,ROUNDUP((AX$5-Plano!$K28)/Plano!$G28,0))&lt;=IF(DAY(AX$5)&gt;=29,EOMONTH(AX$5,0),AX$5+6),"●",""))</f>
        <v/>
      </c>
      <c r="AY31" s="54" t="str">
        <f ca="1">IF(OR(NOT(ISNUMBER(AY$5)),N(Plano!$G28)=0,N(Plano!$K28)=0),"",IF(Plano!$K28+Plano!$G28*MAX(0,ROUNDUP((AY$5-Plano!$K28)/Plano!$G28,0))&lt;=IF(DAY(AY$5)&gt;=29,EOMONTH(AY$5,0),AY$5+6),"●",""))</f>
        <v/>
      </c>
      <c r="AZ31" s="53" t="str">
        <f ca="1">IF(OR(NOT(ISNUMBER(AZ$5)),N(Plano!$G28)=0,N(Plano!$K28)=0),"",IF(Plano!$K28+Plano!$G28*MAX(0,ROUNDUP((AZ$5-Plano!$K28)/Plano!$G28,0))&lt;=IF(DAY(AZ$5)&gt;=29,EOMONTH(AZ$5,0),AZ$5+6),"●",""))</f>
        <v/>
      </c>
      <c r="BA31" s="53" t="str">
        <f ca="1">IF(OR(NOT(ISNUMBER(BA$5)),N(Plano!$G28)=0,N(Plano!$K28)=0),"",IF(Plano!$K28+Plano!$G28*MAX(0,ROUNDUP((BA$5-Plano!$K28)/Plano!$G28,0))&lt;=IF(DAY(BA$5)&gt;=29,EOMONTH(BA$5,0),BA$5+6),"●",""))</f>
        <v/>
      </c>
      <c r="BB31" s="53" t="str">
        <f ca="1">IF(OR(NOT(ISNUMBER(BB$5)),N(Plano!$G28)=0,N(Plano!$K28)=0),"",IF(Plano!$K28+Plano!$G28*MAX(0,ROUNDUP((BB$5-Plano!$K28)/Plano!$G28,0))&lt;=IF(DAY(BB$5)&gt;=29,EOMONTH(BB$5,0),BB$5+6),"●",""))</f>
        <v/>
      </c>
      <c r="BC31" s="53" t="str">
        <f ca="1">IF(OR(NOT(ISNUMBER(BC$5)),N(Plano!$G28)=0,N(Plano!$K28)=0),"",IF(Plano!$K28+Plano!$G28*MAX(0,ROUNDUP((BC$5-Plano!$K28)/Plano!$G28,0))&lt;=IF(DAY(BC$5)&gt;=29,EOMONTH(BC$5,0),BC$5+6),"●",""))</f>
        <v/>
      </c>
      <c r="BD31" s="54" t="str">
        <f ca="1">IF(OR(NOT(ISNUMBER(BD$5)),N(Plano!$G28)=0,N(Plano!$K28)=0),"",IF(Plano!$K28+Plano!$G28*MAX(0,ROUNDUP((BD$5-Plano!$K28)/Plano!$G28,0))&lt;=IF(DAY(BD$5)&gt;=29,EOMONTH(BD$5,0),BD$5+6),"●",""))</f>
        <v/>
      </c>
      <c r="BE31" s="53" t="str">
        <f ca="1">IF(OR(NOT(ISNUMBER(BE$5)),N(Plano!$G28)=0,N(Plano!$K28)=0),"",IF(Plano!$K28+Plano!$G28*MAX(0,ROUNDUP((BE$5-Plano!$K28)/Plano!$G28,0))&lt;=IF(DAY(BE$5)&gt;=29,EOMONTH(BE$5,0),BE$5+6),"●",""))</f>
        <v/>
      </c>
      <c r="BF31" s="53" t="str">
        <f ca="1">IF(OR(NOT(ISNUMBER(BF$5)),N(Plano!$G28)=0,N(Plano!$K28)=0),"",IF(Plano!$K28+Plano!$G28*MAX(0,ROUNDUP((BF$5-Plano!$K28)/Plano!$G28,0))&lt;=IF(DAY(BF$5)&gt;=29,EOMONTH(BF$5,0),BF$5+6),"●",""))</f>
        <v/>
      </c>
      <c r="BG31" s="53" t="str">
        <f ca="1">IF(OR(NOT(ISNUMBER(BG$5)),N(Plano!$G28)=0,N(Plano!$K28)=0),"",IF(Plano!$K28+Plano!$G28*MAX(0,ROUNDUP((BG$5-Plano!$K28)/Plano!$G28,0))&lt;=IF(DAY(BG$5)&gt;=29,EOMONTH(BG$5,0),BG$5+6),"●",""))</f>
        <v/>
      </c>
      <c r="BH31" s="53" t="str">
        <f ca="1">IF(OR(NOT(ISNUMBER(BH$5)),N(Plano!$G28)=0,N(Plano!$K28)=0),"",IF(Plano!$K28+Plano!$G28*MAX(0,ROUNDUP((BH$5-Plano!$K28)/Plano!$G28,0))&lt;=IF(DAY(BH$5)&gt;=29,EOMONTH(BH$5,0),BH$5+6),"●",""))</f>
        <v/>
      </c>
      <c r="BI31" s="54" t="str">
        <f ca="1">IF(OR(NOT(ISNUMBER(BI$5)),N(Plano!$G28)=0,N(Plano!$K28)=0),"",IF(Plano!$K28+Plano!$G28*MAX(0,ROUNDUP((BI$5-Plano!$K28)/Plano!$G28,0))&lt;=IF(DAY(BI$5)&gt;=29,EOMONTH(BI$5,0),BI$5+6),"●",""))</f>
        <v/>
      </c>
      <c r="BJ31" s="53" t="str">
        <f ca="1">IF(OR(NOT(ISNUMBER(BJ$5)),N(Plano!$G28)=0,N(Plano!$K28)=0),"",IF(Plano!$K28+Plano!$G28*MAX(0,ROUNDUP((BJ$5-Plano!$K28)/Plano!$G28,0))&lt;=IF(DAY(BJ$5)&gt;=29,EOMONTH(BJ$5,0),BJ$5+6),"●",""))</f>
        <v/>
      </c>
      <c r="BK31" s="53" t="str">
        <f ca="1">IF(OR(NOT(ISNUMBER(BK$5)),N(Plano!$G28)=0,N(Plano!$K28)=0),"",IF(Plano!$K28+Plano!$G28*MAX(0,ROUNDUP((BK$5-Plano!$K28)/Plano!$G28,0))&lt;=IF(DAY(BK$5)&gt;=29,EOMONTH(BK$5,0),BK$5+6),"●",""))</f>
        <v/>
      </c>
      <c r="BL31" s="53" t="str">
        <f ca="1">IF(OR(NOT(ISNUMBER(BL$5)),N(Plano!$G28)=0,N(Plano!$K28)=0),"",IF(Plano!$K28+Plano!$G28*MAX(0,ROUNDUP((BL$5-Plano!$K28)/Plano!$G28,0))&lt;=IF(DAY(BL$5)&gt;=29,EOMONTH(BL$5,0),BL$5+6),"●",""))</f>
        <v/>
      </c>
      <c r="BM31" s="55" t="str">
        <f ca="1">IF(OR(NOT(ISNUMBER(BM$5)),N(Plano!$G28)=0,N(Plano!$K28)=0),"",IF(Plano!$K28+Plano!$G28*MAX(0,ROUNDUP((BM$5-Plano!$K28)/Plano!$G28,0))&lt;=IF(DAY(BM$5)&gt;=29,EOMONTH(BM$5,0),BM$5+6),"●",""))</f>
        <v/>
      </c>
    </row>
    <row r="32" spans="1:65" ht="18" customHeight="1">
      <c r="A32" s="40">
        <f>Plano!A29</f>
        <v>24</v>
      </c>
      <c r="B32" s="51" t="str">
        <f>IF(Plano!B29="","",Plano!B29)</f>
        <v/>
      </c>
      <c r="C32" s="20" t="str">
        <f>IF(B32="","",IFERROR(INDEX(tb_pcm_ativos[descricao_ativo],MATCH(B32,tb_pcm_ativos[tag],0)),"fora do cadastro"))</f>
        <v/>
      </c>
      <c r="D32" s="20" t="str">
        <f>IF(Plano!E29="","",Plano!E29)</f>
        <v/>
      </c>
      <c r="E32" s="52" t="str">
        <f>IF(Plano!G29="","",Plano!G29)</f>
        <v/>
      </c>
      <c r="F32" s="53" t="str">
        <f ca="1">IF(OR(NOT(ISNUMBER(F$5)),N(Plano!$G29)=0,N(Plano!$K29)=0),"",IF(Plano!$K29+Plano!$G29*MAX(0,ROUNDUP((F$5-Plano!$K29)/Plano!$G29,0))&lt;=IF(DAY(F$5)&gt;=29,EOMONTH(F$5,0),F$5+6),"●",""))</f>
        <v/>
      </c>
      <c r="G32" s="53" t="str">
        <f ca="1">IF(OR(NOT(ISNUMBER(G$5)),N(Plano!$G29)=0,N(Plano!$K29)=0),"",IF(Plano!$K29+Plano!$G29*MAX(0,ROUNDUP((G$5-Plano!$K29)/Plano!$G29,0))&lt;=IF(DAY(G$5)&gt;=29,EOMONTH(G$5,0),G$5+6),"●",""))</f>
        <v/>
      </c>
      <c r="H32" s="53" t="str">
        <f ca="1">IF(OR(NOT(ISNUMBER(H$5)),N(Plano!$G29)=0,N(Plano!$K29)=0),"",IF(Plano!$K29+Plano!$G29*MAX(0,ROUNDUP((H$5-Plano!$K29)/Plano!$G29,0))&lt;=IF(DAY(H$5)&gt;=29,EOMONTH(H$5,0),H$5+6),"●",""))</f>
        <v/>
      </c>
      <c r="I32" s="53" t="str">
        <f ca="1">IF(OR(NOT(ISNUMBER(I$5)),N(Plano!$G29)=0,N(Plano!$K29)=0),"",IF(Plano!$K29+Plano!$G29*MAX(0,ROUNDUP((I$5-Plano!$K29)/Plano!$G29,0))&lt;=IF(DAY(I$5)&gt;=29,EOMONTH(I$5,0),I$5+6),"●",""))</f>
        <v/>
      </c>
      <c r="J32" s="53" t="str">
        <f ca="1">IF(OR(NOT(ISNUMBER(J$5)),N(Plano!$G29)=0,N(Plano!$K29)=0),"",IF(Plano!$K29+Plano!$G29*MAX(0,ROUNDUP((J$5-Plano!$K29)/Plano!$G29,0))&lt;=IF(DAY(J$5)&gt;=29,EOMONTH(J$5,0),J$5+6),"●",""))</f>
        <v/>
      </c>
      <c r="K32" s="54" t="str">
        <f ca="1">IF(OR(NOT(ISNUMBER(K$5)),N(Plano!$G29)=0,N(Plano!$K29)=0),"",IF(Plano!$K29+Plano!$G29*MAX(0,ROUNDUP((K$5-Plano!$K29)/Plano!$G29,0))&lt;=IF(DAY(K$5)&gt;=29,EOMONTH(K$5,0),K$5+6),"●",""))</f>
        <v/>
      </c>
      <c r="L32" s="53" t="str">
        <f ca="1">IF(OR(NOT(ISNUMBER(L$5)),N(Plano!$G29)=0,N(Plano!$K29)=0),"",IF(Plano!$K29+Plano!$G29*MAX(0,ROUNDUP((L$5-Plano!$K29)/Plano!$G29,0))&lt;=IF(DAY(L$5)&gt;=29,EOMONTH(L$5,0),L$5+6),"●",""))</f>
        <v/>
      </c>
      <c r="M32" s="53" t="str">
        <f ca="1">IF(OR(NOT(ISNUMBER(M$5)),N(Plano!$G29)=0,N(Plano!$K29)=0),"",IF(Plano!$K29+Plano!$G29*MAX(0,ROUNDUP((M$5-Plano!$K29)/Plano!$G29,0))&lt;=IF(DAY(M$5)&gt;=29,EOMONTH(M$5,0),M$5+6),"●",""))</f>
        <v/>
      </c>
      <c r="N32" s="53" t="str">
        <f ca="1">IF(OR(NOT(ISNUMBER(N$5)),N(Plano!$G29)=0,N(Plano!$K29)=0),"",IF(Plano!$K29+Plano!$G29*MAX(0,ROUNDUP((N$5-Plano!$K29)/Plano!$G29,0))&lt;=IF(DAY(N$5)&gt;=29,EOMONTH(N$5,0),N$5+6),"●",""))</f>
        <v/>
      </c>
      <c r="O32" s="53" t="str">
        <f ca="1">IF(OR(NOT(ISNUMBER(O$5)),N(Plano!$G29)=0,N(Plano!$K29)=0),"",IF(Plano!$K29+Plano!$G29*MAX(0,ROUNDUP((O$5-Plano!$K29)/Plano!$G29,0))&lt;=IF(DAY(O$5)&gt;=29,EOMONTH(O$5,0),O$5+6),"●",""))</f>
        <v/>
      </c>
      <c r="P32" s="54" t="str">
        <f ca="1">IF(OR(NOT(ISNUMBER(P$5)),N(Plano!$G29)=0,N(Plano!$K29)=0),"",IF(Plano!$K29+Plano!$G29*MAX(0,ROUNDUP((P$5-Plano!$K29)/Plano!$G29,0))&lt;=IF(DAY(P$5)&gt;=29,EOMONTH(P$5,0),P$5+6),"●",""))</f>
        <v/>
      </c>
      <c r="Q32" s="53" t="str">
        <f ca="1">IF(OR(NOT(ISNUMBER(Q$5)),N(Plano!$G29)=0,N(Plano!$K29)=0),"",IF(Plano!$K29+Plano!$G29*MAX(0,ROUNDUP((Q$5-Plano!$K29)/Plano!$G29,0))&lt;=IF(DAY(Q$5)&gt;=29,EOMONTH(Q$5,0),Q$5+6),"●",""))</f>
        <v/>
      </c>
      <c r="R32" s="53" t="str">
        <f ca="1">IF(OR(NOT(ISNUMBER(R$5)),N(Plano!$G29)=0,N(Plano!$K29)=0),"",IF(Plano!$K29+Plano!$G29*MAX(0,ROUNDUP((R$5-Plano!$K29)/Plano!$G29,0))&lt;=IF(DAY(R$5)&gt;=29,EOMONTH(R$5,0),R$5+6),"●",""))</f>
        <v/>
      </c>
      <c r="S32" s="53" t="str">
        <f ca="1">IF(OR(NOT(ISNUMBER(S$5)),N(Plano!$G29)=0,N(Plano!$K29)=0),"",IF(Plano!$K29+Plano!$G29*MAX(0,ROUNDUP((S$5-Plano!$K29)/Plano!$G29,0))&lt;=IF(DAY(S$5)&gt;=29,EOMONTH(S$5,0),S$5+6),"●",""))</f>
        <v/>
      </c>
      <c r="T32" s="53" t="str">
        <f ca="1">IF(OR(NOT(ISNUMBER(T$5)),N(Plano!$G29)=0,N(Plano!$K29)=0),"",IF(Plano!$K29+Plano!$G29*MAX(0,ROUNDUP((T$5-Plano!$K29)/Plano!$G29,0))&lt;=IF(DAY(T$5)&gt;=29,EOMONTH(T$5,0),T$5+6),"●",""))</f>
        <v/>
      </c>
      <c r="U32" s="54" t="str">
        <f ca="1">IF(OR(NOT(ISNUMBER(U$5)),N(Plano!$G29)=0,N(Plano!$K29)=0),"",IF(Plano!$K29+Plano!$G29*MAX(0,ROUNDUP((U$5-Plano!$K29)/Plano!$G29,0))&lt;=IF(DAY(U$5)&gt;=29,EOMONTH(U$5,0),U$5+6),"●",""))</f>
        <v/>
      </c>
      <c r="V32" s="53" t="str">
        <f ca="1">IF(OR(NOT(ISNUMBER(V$5)),N(Plano!$G29)=0,N(Plano!$K29)=0),"",IF(Plano!$K29+Plano!$G29*MAX(0,ROUNDUP((V$5-Plano!$K29)/Plano!$G29,0))&lt;=IF(DAY(V$5)&gt;=29,EOMONTH(V$5,0),V$5+6),"●",""))</f>
        <v/>
      </c>
      <c r="W32" s="53" t="str">
        <f ca="1">IF(OR(NOT(ISNUMBER(W$5)),N(Plano!$G29)=0,N(Plano!$K29)=0),"",IF(Plano!$K29+Plano!$G29*MAX(0,ROUNDUP((W$5-Plano!$K29)/Plano!$G29,0))&lt;=IF(DAY(W$5)&gt;=29,EOMONTH(W$5,0),W$5+6),"●",""))</f>
        <v/>
      </c>
      <c r="X32" s="53" t="str">
        <f ca="1">IF(OR(NOT(ISNUMBER(X$5)),N(Plano!$G29)=0,N(Plano!$K29)=0),"",IF(Plano!$K29+Plano!$G29*MAX(0,ROUNDUP((X$5-Plano!$K29)/Plano!$G29,0))&lt;=IF(DAY(X$5)&gt;=29,EOMONTH(X$5,0),X$5+6),"●",""))</f>
        <v/>
      </c>
      <c r="Y32" s="53" t="str">
        <f ca="1">IF(OR(NOT(ISNUMBER(Y$5)),N(Plano!$G29)=0,N(Plano!$K29)=0),"",IF(Plano!$K29+Plano!$G29*MAX(0,ROUNDUP((Y$5-Plano!$K29)/Plano!$G29,0))&lt;=IF(DAY(Y$5)&gt;=29,EOMONTH(Y$5,0),Y$5+6),"●",""))</f>
        <v/>
      </c>
      <c r="Z32" s="54" t="str">
        <f ca="1">IF(OR(NOT(ISNUMBER(Z$5)),N(Plano!$G29)=0,N(Plano!$K29)=0),"",IF(Plano!$K29+Plano!$G29*MAX(0,ROUNDUP((Z$5-Plano!$K29)/Plano!$G29,0))&lt;=IF(DAY(Z$5)&gt;=29,EOMONTH(Z$5,0),Z$5+6),"●",""))</f>
        <v/>
      </c>
      <c r="AA32" s="53" t="str">
        <f ca="1">IF(OR(NOT(ISNUMBER(AA$5)),N(Plano!$G29)=0,N(Plano!$K29)=0),"",IF(Plano!$K29+Plano!$G29*MAX(0,ROUNDUP((AA$5-Plano!$K29)/Plano!$G29,0))&lt;=IF(DAY(AA$5)&gt;=29,EOMONTH(AA$5,0),AA$5+6),"●",""))</f>
        <v/>
      </c>
      <c r="AB32" s="53" t="str">
        <f ca="1">IF(OR(NOT(ISNUMBER(AB$5)),N(Plano!$G29)=0,N(Plano!$K29)=0),"",IF(Plano!$K29+Plano!$G29*MAX(0,ROUNDUP((AB$5-Plano!$K29)/Plano!$G29,0))&lt;=IF(DAY(AB$5)&gt;=29,EOMONTH(AB$5,0),AB$5+6),"●",""))</f>
        <v/>
      </c>
      <c r="AC32" s="53" t="str">
        <f ca="1">IF(OR(NOT(ISNUMBER(AC$5)),N(Plano!$G29)=0,N(Plano!$K29)=0),"",IF(Plano!$K29+Plano!$G29*MAX(0,ROUNDUP((AC$5-Plano!$K29)/Plano!$G29,0))&lt;=IF(DAY(AC$5)&gt;=29,EOMONTH(AC$5,0),AC$5+6),"●",""))</f>
        <v/>
      </c>
      <c r="AD32" s="53" t="str">
        <f ca="1">IF(OR(NOT(ISNUMBER(AD$5)),N(Plano!$G29)=0,N(Plano!$K29)=0),"",IF(Plano!$K29+Plano!$G29*MAX(0,ROUNDUP((AD$5-Plano!$K29)/Plano!$G29,0))&lt;=IF(DAY(AD$5)&gt;=29,EOMONTH(AD$5,0),AD$5+6),"●",""))</f>
        <v/>
      </c>
      <c r="AE32" s="54" t="str">
        <f ca="1">IF(OR(NOT(ISNUMBER(AE$5)),N(Plano!$G29)=0,N(Plano!$K29)=0),"",IF(Plano!$K29+Plano!$G29*MAX(0,ROUNDUP((AE$5-Plano!$K29)/Plano!$G29,0))&lt;=IF(DAY(AE$5)&gt;=29,EOMONTH(AE$5,0),AE$5+6),"●",""))</f>
        <v/>
      </c>
      <c r="AF32" s="53" t="str">
        <f ca="1">IF(OR(NOT(ISNUMBER(AF$5)),N(Plano!$G29)=0,N(Plano!$K29)=0),"",IF(Plano!$K29+Plano!$G29*MAX(0,ROUNDUP((AF$5-Plano!$K29)/Plano!$G29,0))&lt;=IF(DAY(AF$5)&gt;=29,EOMONTH(AF$5,0),AF$5+6),"●",""))</f>
        <v/>
      </c>
      <c r="AG32" s="53" t="str">
        <f ca="1">IF(OR(NOT(ISNUMBER(AG$5)),N(Plano!$G29)=0,N(Plano!$K29)=0),"",IF(Plano!$K29+Plano!$G29*MAX(0,ROUNDUP((AG$5-Plano!$K29)/Plano!$G29,0))&lt;=IF(DAY(AG$5)&gt;=29,EOMONTH(AG$5,0),AG$5+6),"●",""))</f>
        <v/>
      </c>
      <c r="AH32" s="53" t="str">
        <f ca="1">IF(OR(NOT(ISNUMBER(AH$5)),N(Plano!$G29)=0,N(Plano!$K29)=0),"",IF(Plano!$K29+Plano!$G29*MAX(0,ROUNDUP((AH$5-Plano!$K29)/Plano!$G29,0))&lt;=IF(DAY(AH$5)&gt;=29,EOMONTH(AH$5,0),AH$5+6),"●",""))</f>
        <v/>
      </c>
      <c r="AI32" s="53" t="str">
        <f ca="1">IF(OR(NOT(ISNUMBER(AI$5)),N(Plano!$G29)=0,N(Plano!$K29)=0),"",IF(Plano!$K29+Plano!$G29*MAX(0,ROUNDUP((AI$5-Plano!$K29)/Plano!$G29,0))&lt;=IF(DAY(AI$5)&gt;=29,EOMONTH(AI$5,0),AI$5+6),"●",""))</f>
        <v/>
      </c>
      <c r="AJ32" s="54" t="str">
        <f ca="1">IF(OR(NOT(ISNUMBER(AJ$5)),N(Plano!$G29)=0,N(Plano!$K29)=0),"",IF(Plano!$K29+Plano!$G29*MAX(0,ROUNDUP((AJ$5-Plano!$K29)/Plano!$G29,0))&lt;=IF(DAY(AJ$5)&gt;=29,EOMONTH(AJ$5,0),AJ$5+6),"●",""))</f>
        <v/>
      </c>
      <c r="AK32" s="53" t="str">
        <f ca="1">IF(OR(NOT(ISNUMBER(AK$5)),N(Plano!$G29)=0,N(Plano!$K29)=0),"",IF(Plano!$K29+Plano!$G29*MAX(0,ROUNDUP((AK$5-Plano!$K29)/Plano!$G29,0))&lt;=IF(DAY(AK$5)&gt;=29,EOMONTH(AK$5,0),AK$5+6),"●",""))</f>
        <v/>
      </c>
      <c r="AL32" s="53" t="str">
        <f ca="1">IF(OR(NOT(ISNUMBER(AL$5)),N(Plano!$G29)=0,N(Plano!$K29)=0),"",IF(Plano!$K29+Plano!$G29*MAX(0,ROUNDUP((AL$5-Plano!$K29)/Plano!$G29,0))&lt;=IF(DAY(AL$5)&gt;=29,EOMONTH(AL$5,0),AL$5+6),"●",""))</f>
        <v/>
      </c>
      <c r="AM32" s="53" t="str">
        <f ca="1">IF(OR(NOT(ISNUMBER(AM$5)),N(Plano!$G29)=0,N(Plano!$K29)=0),"",IF(Plano!$K29+Plano!$G29*MAX(0,ROUNDUP((AM$5-Plano!$K29)/Plano!$G29,0))&lt;=IF(DAY(AM$5)&gt;=29,EOMONTH(AM$5,0),AM$5+6),"●",""))</f>
        <v/>
      </c>
      <c r="AN32" s="53" t="str">
        <f ca="1">IF(OR(NOT(ISNUMBER(AN$5)),N(Plano!$G29)=0,N(Plano!$K29)=0),"",IF(Plano!$K29+Plano!$G29*MAX(0,ROUNDUP((AN$5-Plano!$K29)/Plano!$G29,0))&lt;=IF(DAY(AN$5)&gt;=29,EOMONTH(AN$5,0),AN$5+6),"●",""))</f>
        <v/>
      </c>
      <c r="AO32" s="54" t="str">
        <f ca="1">IF(OR(NOT(ISNUMBER(AO$5)),N(Plano!$G29)=0,N(Plano!$K29)=0),"",IF(Plano!$K29+Plano!$G29*MAX(0,ROUNDUP((AO$5-Plano!$K29)/Plano!$G29,0))&lt;=IF(DAY(AO$5)&gt;=29,EOMONTH(AO$5,0),AO$5+6),"●",""))</f>
        <v/>
      </c>
      <c r="AP32" s="53" t="str">
        <f ca="1">IF(OR(NOT(ISNUMBER(AP$5)),N(Plano!$G29)=0,N(Plano!$K29)=0),"",IF(Plano!$K29+Plano!$G29*MAX(0,ROUNDUP((AP$5-Plano!$K29)/Plano!$G29,0))&lt;=IF(DAY(AP$5)&gt;=29,EOMONTH(AP$5,0),AP$5+6),"●",""))</f>
        <v/>
      </c>
      <c r="AQ32" s="53" t="str">
        <f ca="1">IF(OR(NOT(ISNUMBER(AQ$5)),N(Plano!$G29)=0,N(Plano!$K29)=0),"",IF(Plano!$K29+Plano!$G29*MAX(0,ROUNDUP((AQ$5-Plano!$K29)/Plano!$G29,0))&lt;=IF(DAY(AQ$5)&gt;=29,EOMONTH(AQ$5,0),AQ$5+6),"●",""))</f>
        <v/>
      </c>
      <c r="AR32" s="53" t="str">
        <f ca="1">IF(OR(NOT(ISNUMBER(AR$5)),N(Plano!$G29)=0,N(Plano!$K29)=0),"",IF(Plano!$K29+Plano!$G29*MAX(0,ROUNDUP((AR$5-Plano!$K29)/Plano!$G29,0))&lt;=IF(DAY(AR$5)&gt;=29,EOMONTH(AR$5,0),AR$5+6),"●",""))</f>
        <v/>
      </c>
      <c r="AS32" s="53" t="str">
        <f ca="1">IF(OR(NOT(ISNUMBER(AS$5)),N(Plano!$G29)=0,N(Plano!$K29)=0),"",IF(Plano!$K29+Plano!$G29*MAX(0,ROUNDUP((AS$5-Plano!$K29)/Plano!$G29,0))&lt;=IF(DAY(AS$5)&gt;=29,EOMONTH(AS$5,0),AS$5+6),"●",""))</f>
        <v/>
      </c>
      <c r="AT32" s="54" t="str">
        <f ca="1">IF(OR(NOT(ISNUMBER(AT$5)),N(Plano!$G29)=0,N(Plano!$K29)=0),"",IF(Plano!$K29+Plano!$G29*MAX(0,ROUNDUP((AT$5-Plano!$K29)/Plano!$G29,0))&lt;=IF(DAY(AT$5)&gt;=29,EOMONTH(AT$5,0),AT$5+6),"●",""))</f>
        <v/>
      </c>
      <c r="AU32" s="53" t="str">
        <f ca="1">IF(OR(NOT(ISNUMBER(AU$5)),N(Plano!$G29)=0,N(Plano!$K29)=0),"",IF(Plano!$K29+Plano!$G29*MAX(0,ROUNDUP((AU$5-Plano!$K29)/Plano!$G29,0))&lt;=IF(DAY(AU$5)&gt;=29,EOMONTH(AU$5,0),AU$5+6),"●",""))</f>
        <v/>
      </c>
      <c r="AV32" s="53" t="str">
        <f ca="1">IF(OR(NOT(ISNUMBER(AV$5)),N(Plano!$G29)=0,N(Plano!$K29)=0),"",IF(Plano!$K29+Plano!$G29*MAX(0,ROUNDUP((AV$5-Plano!$K29)/Plano!$G29,0))&lt;=IF(DAY(AV$5)&gt;=29,EOMONTH(AV$5,0),AV$5+6),"●",""))</f>
        <v/>
      </c>
      <c r="AW32" s="53" t="str">
        <f ca="1">IF(OR(NOT(ISNUMBER(AW$5)),N(Plano!$G29)=0,N(Plano!$K29)=0),"",IF(Plano!$K29+Plano!$G29*MAX(0,ROUNDUP((AW$5-Plano!$K29)/Plano!$G29,0))&lt;=IF(DAY(AW$5)&gt;=29,EOMONTH(AW$5,0),AW$5+6),"●",""))</f>
        <v/>
      </c>
      <c r="AX32" s="53" t="str">
        <f ca="1">IF(OR(NOT(ISNUMBER(AX$5)),N(Plano!$G29)=0,N(Plano!$K29)=0),"",IF(Plano!$K29+Plano!$G29*MAX(0,ROUNDUP((AX$5-Plano!$K29)/Plano!$G29,0))&lt;=IF(DAY(AX$5)&gt;=29,EOMONTH(AX$5,0),AX$5+6),"●",""))</f>
        <v/>
      </c>
      <c r="AY32" s="54" t="str">
        <f ca="1">IF(OR(NOT(ISNUMBER(AY$5)),N(Plano!$G29)=0,N(Plano!$K29)=0),"",IF(Plano!$K29+Plano!$G29*MAX(0,ROUNDUP((AY$5-Plano!$K29)/Plano!$G29,0))&lt;=IF(DAY(AY$5)&gt;=29,EOMONTH(AY$5,0),AY$5+6),"●",""))</f>
        <v/>
      </c>
      <c r="AZ32" s="53" t="str">
        <f ca="1">IF(OR(NOT(ISNUMBER(AZ$5)),N(Plano!$G29)=0,N(Plano!$K29)=0),"",IF(Plano!$K29+Plano!$G29*MAX(0,ROUNDUP((AZ$5-Plano!$K29)/Plano!$G29,0))&lt;=IF(DAY(AZ$5)&gt;=29,EOMONTH(AZ$5,0),AZ$5+6),"●",""))</f>
        <v/>
      </c>
      <c r="BA32" s="53" t="str">
        <f ca="1">IF(OR(NOT(ISNUMBER(BA$5)),N(Plano!$G29)=0,N(Plano!$K29)=0),"",IF(Plano!$K29+Plano!$G29*MAX(0,ROUNDUP((BA$5-Plano!$K29)/Plano!$G29,0))&lt;=IF(DAY(BA$5)&gt;=29,EOMONTH(BA$5,0),BA$5+6),"●",""))</f>
        <v/>
      </c>
      <c r="BB32" s="53" t="str">
        <f ca="1">IF(OR(NOT(ISNUMBER(BB$5)),N(Plano!$G29)=0,N(Plano!$K29)=0),"",IF(Plano!$K29+Plano!$G29*MAX(0,ROUNDUP((BB$5-Plano!$K29)/Plano!$G29,0))&lt;=IF(DAY(BB$5)&gt;=29,EOMONTH(BB$5,0),BB$5+6),"●",""))</f>
        <v/>
      </c>
      <c r="BC32" s="53" t="str">
        <f ca="1">IF(OR(NOT(ISNUMBER(BC$5)),N(Plano!$G29)=0,N(Plano!$K29)=0),"",IF(Plano!$K29+Plano!$G29*MAX(0,ROUNDUP((BC$5-Plano!$K29)/Plano!$G29,0))&lt;=IF(DAY(BC$5)&gt;=29,EOMONTH(BC$5,0),BC$5+6),"●",""))</f>
        <v/>
      </c>
      <c r="BD32" s="54" t="str">
        <f ca="1">IF(OR(NOT(ISNUMBER(BD$5)),N(Plano!$G29)=0,N(Plano!$K29)=0),"",IF(Plano!$K29+Plano!$G29*MAX(0,ROUNDUP((BD$5-Plano!$K29)/Plano!$G29,0))&lt;=IF(DAY(BD$5)&gt;=29,EOMONTH(BD$5,0),BD$5+6),"●",""))</f>
        <v/>
      </c>
      <c r="BE32" s="53" t="str">
        <f ca="1">IF(OR(NOT(ISNUMBER(BE$5)),N(Plano!$G29)=0,N(Plano!$K29)=0),"",IF(Plano!$K29+Plano!$G29*MAX(0,ROUNDUP((BE$5-Plano!$K29)/Plano!$G29,0))&lt;=IF(DAY(BE$5)&gt;=29,EOMONTH(BE$5,0),BE$5+6),"●",""))</f>
        <v/>
      </c>
      <c r="BF32" s="53" t="str">
        <f ca="1">IF(OR(NOT(ISNUMBER(BF$5)),N(Plano!$G29)=0,N(Plano!$K29)=0),"",IF(Plano!$K29+Plano!$G29*MAX(0,ROUNDUP((BF$5-Plano!$K29)/Plano!$G29,0))&lt;=IF(DAY(BF$5)&gt;=29,EOMONTH(BF$5,0),BF$5+6),"●",""))</f>
        <v/>
      </c>
      <c r="BG32" s="53" t="str">
        <f ca="1">IF(OR(NOT(ISNUMBER(BG$5)),N(Plano!$G29)=0,N(Plano!$K29)=0),"",IF(Plano!$K29+Plano!$G29*MAX(0,ROUNDUP((BG$5-Plano!$K29)/Plano!$G29,0))&lt;=IF(DAY(BG$5)&gt;=29,EOMONTH(BG$5,0),BG$5+6),"●",""))</f>
        <v/>
      </c>
      <c r="BH32" s="53" t="str">
        <f ca="1">IF(OR(NOT(ISNUMBER(BH$5)),N(Plano!$G29)=0,N(Plano!$K29)=0),"",IF(Plano!$K29+Plano!$G29*MAX(0,ROUNDUP((BH$5-Plano!$K29)/Plano!$G29,0))&lt;=IF(DAY(BH$5)&gt;=29,EOMONTH(BH$5,0),BH$5+6),"●",""))</f>
        <v/>
      </c>
      <c r="BI32" s="54" t="str">
        <f ca="1">IF(OR(NOT(ISNUMBER(BI$5)),N(Plano!$G29)=0,N(Plano!$K29)=0),"",IF(Plano!$K29+Plano!$G29*MAX(0,ROUNDUP((BI$5-Plano!$K29)/Plano!$G29,0))&lt;=IF(DAY(BI$5)&gt;=29,EOMONTH(BI$5,0),BI$5+6),"●",""))</f>
        <v/>
      </c>
      <c r="BJ32" s="53" t="str">
        <f ca="1">IF(OR(NOT(ISNUMBER(BJ$5)),N(Plano!$G29)=0,N(Plano!$K29)=0),"",IF(Plano!$K29+Plano!$G29*MAX(0,ROUNDUP((BJ$5-Plano!$K29)/Plano!$G29,0))&lt;=IF(DAY(BJ$5)&gt;=29,EOMONTH(BJ$5,0),BJ$5+6),"●",""))</f>
        <v/>
      </c>
      <c r="BK32" s="53" t="str">
        <f ca="1">IF(OR(NOT(ISNUMBER(BK$5)),N(Plano!$G29)=0,N(Plano!$K29)=0),"",IF(Plano!$K29+Plano!$G29*MAX(0,ROUNDUP((BK$5-Plano!$K29)/Plano!$G29,0))&lt;=IF(DAY(BK$5)&gt;=29,EOMONTH(BK$5,0),BK$5+6),"●",""))</f>
        <v/>
      </c>
      <c r="BL32" s="53" t="str">
        <f ca="1">IF(OR(NOT(ISNUMBER(BL$5)),N(Plano!$G29)=0,N(Plano!$K29)=0),"",IF(Plano!$K29+Plano!$G29*MAX(0,ROUNDUP((BL$5-Plano!$K29)/Plano!$G29,0))&lt;=IF(DAY(BL$5)&gt;=29,EOMONTH(BL$5,0),BL$5+6),"●",""))</f>
        <v/>
      </c>
      <c r="BM32" s="55" t="str">
        <f ca="1">IF(OR(NOT(ISNUMBER(BM$5)),N(Plano!$G29)=0,N(Plano!$K29)=0),"",IF(Plano!$K29+Plano!$G29*MAX(0,ROUNDUP((BM$5-Plano!$K29)/Plano!$G29,0))&lt;=IF(DAY(BM$5)&gt;=29,EOMONTH(BM$5,0),BM$5+6),"●",""))</f>
        <v/>
      </c>
    </row>
    <row r="33" spans="1:65" ht="18" customHeight="1">
      <c r="A33" s="40">
        <f>Plano!A30</f>
        <v>25</v>
      </c>
      <c r="B33" s="51" t="str">
        <f>IF(Plano!B30="","",Plano!B30)</f>
        <v/>
      </c>
      <c r="C33" s="20" t="str">
        <f>IF(B33="","",IFERROR(INDEX(tb_pcm_ativos[descricao_ativo],MATCH(B33,tb_pcm_ativos[tag],0)),"fora do cadastro"))</f>
        <v/>
      </c>
      <c r="D33" s="20" t="str">
        <f>IF(Plano!E30="","",Plano!E30)</f>
        <v/>
      </c>
      <c r="E33" s="52" t="str">
        <f>IF(Plano!G30="","",Plano!G30)</f>
        <v/>
      </c>
      <c r="F33" s="53" t="str">
        <f ca="1">IF(OR(NOT(ISNUMBER(F$5)),N(Plano!$G30)=0,N(Plano!$K30)=0),"",IF(Plano!$K30+Plano!$G30*MAX(0,ROUNDUP((F$5-Plano!$K30)/Plano!$G30,0))&lt;=IF(DAY(F$5)&gt;=29,EOMONTH(F$5,0),F$5+6),"●",""))</f>
        <v/>
      </c>
      <c r="G33" s="53" t="str">
        <f ca="1">IF(OR(NOT(ISNUMBER(G$5)),N(Plano!$G30)=0,N(Plano!$K30)=0),"",IF(Plano!$K30+Plano!$G30*MAX(0,ROUNDUP((G$5-Plano!$K30)/Plano!$G30,0))&lt;=IF(DAY(G$5)&gt;=29,EOMONTH(G$5,0),G$5+6),"●",""))</f>
        <v/>
      </c>
      <c r="H33" s="53" t="str">
        <f ca="1">IF(OR(NOT(ISNUMBER(H$5)),N(Plano!$G30)=0,N(Plano!$K30)=0),"",IF(Plano!$K30+Plano!$G30*MAX(0,ROUNDUP((H$5-Plano!$K30)/Plano!$G30,0))&lt;=IF(DAY(H$5)&gt;=29,EOMONTH(H$5,0),H$5+6),"●",""))</f>
        <v/>
      </c>
      <c r="I33" s="53" t="str">
        <f ca="1">IF(OR(NOT(ISNUMBER(I$5)),N(Plano!$G30)=0,N(Plano!$K30)=0),"",IF(Plano!$K30+Plano!$G30*MAX(0,ROUNDUP((I$5-Plano!$K30)/Plano!$G30,0))&lt;=IF(DAY(I$5)&gt;=29,EOMONTH(I$5,0),I$5+6),"●",""))</f>
        <v/>
      </c>
      <c r="J33" s="53" t="str">
        <f ca="1">IF(OR(NOT(ISNUMBER(J$5)),N(Plano!$G30)=0,N(Plano!$K30)=0),"",IF(Plano!$K30+Plano!$G30*MAX(0,ROUNDUP((J$5-Plano!$K30)/Plano!$G30,0))&lt;=IF(DAY(J$5)&gt;=29,EOMONTH(J$5,0),J$5+6),"●",""))</f>
        <v/>
      </c>
      <c r="K33" s="54" t="str">
        <f ca="1">IF(OR(NOT(ISNUMBER(K$5)),N(Plano!$G30)=0,N(Plano!$K30)=0),"",IF(Plano!$K30+Plano!$G30*MAX(0,ROUNDUP((K$5-Plano!$K30)/Plano!$G30,0))&lt;=IF(DAY(K$5)&gt;=29,EOMONTH(K$5,0),K$5+6),"●",""))</f>
        <v/>
      </c>
      <c r="L33" s="53" t="str">
        <f ca="1">IF(OR(NOT(ISNUMBER(L$5)),N(Plano!$G30)=0,N(Plano!$K30)=0),"",IF(Plano!$K30+Plano!$G30*MAX(0,ROUNDUP((L$5-Plano!$K30)/Plano!$G30,0))&lt;=IF(DAY(L$5)&gt;=29,EOMONTH(L$5,0),L$5+6),"●",""))</f>
        <v/>
      </c>
      <c r="M33" s="53" t="str">
        <f ca="1">IF(OR(NOT(ISNUMBER(M$5)),N(Plano!$G30)=0,N(Plano!$K30)=0),"",IF(Plano!$K30+Plano!$G30*MAX(0,ROUNDUP((M$5-Plano!$K30)/Plano!$G30,0))&lt;=IF(DAY(M$5)&gt;=29,EOMONTH(M$5,0),M$5+6),"●",""))</f>
        <v/>
      </c>
      <c r="N33" s="53" t="str">
        <f ca="1">IF(OR(NOT(ISNUMBER(N$5)),N(Plano!$G30)=0,N(Plano!$K30)=0),"",IF(Plano!$K30+Plano!$G30*MAX(0,ROUNDUP((N$5-Plano!$K30)/Plano!$G30,0))&lt;=IF(DAY(N$5)&gt;=29,EOMONTH(N$5,0),N$5+6),"●",""))</f>
        <v/>
      </c>
      <c r="O33" s="53" t="str">
        <f ca="1">IF(OR(NOT(ISNUMBER(O$5)),N(Plano!$G30)=0,N(Plano!$K30)=0),"",IF(Plano!$K30+Plano!$G30*MAX(0,ROUNDUP((O$5-Plano!$K30)/Plano!$G30,0))&lt;=IF(DAY(O$5)&gt;=29,EOMONTH(O$5,0),O$5+6),"●",""))</f>
        <v/>
      </c>
      <c r="P33" s="54" t="str">
        <f ca="1">IF(OR(NOT(ISNUMBER(P$5)),N(Plano!$G30)=0,N(Plano!$K30)=0),"",IF(Plano!$K30+Plano!$G30*MAX(0,ROUNDUP((P$5-Plano!$K30)/Plano!$G30,0))&lt;=IF(DAY(P$5)&gt;=29,EOMONTH(P$5,0),P$5+6),"●",""))</f>
        <v/>
      </c>
      <c r="Q33" s="53" t="str">
        <f ca="1">IF(OR(NOT(ISNUMBER(Q$5)),N(Plano!$G30)=0,N(Plano!$K30)=0),"",IF(Plano!$K30+Plano!$G30*MAX(0,ROUNDUP((Q$5-Plano!$K30)/Plano!$G30,0))&lt;=IF(DAY(Q$5)&gt;=29,EOMONTH(Q$5,0),Q$5+6),"●",""))</f>
        <v/>
      </c>
      <c r="R33" s="53" t="str">
        <f ca="1">IF(OR(NOT(ISNUMBER(R$5)),N(Plano!$G30)=0,N(Plano!$K30)=0),"",IF(Plano!$K30+Plano!$G30*MAX(0,ROUNDUP((R$5-Plano!$K30)/Plano!$G30,0))&lt;=IF(DAY(R$5)&gt;=29,EOMONTH(R$5,0),R$5+6),"●",""))</f>
        <v/>
      </c>
      <c r="S33" s="53" t="str">
        <f ca="1">IF(OR(NOT(ISNUMBER(S$5)),N(Plano!$G30)=0,N(Plano!$K30)=0),"",IF(Plano!$K30+Plano!$G30*MAX(0,ROUNDUP((S$5-Plano!$K30)/Plano!$G30,0))&lt;=IF(DAY(S$5)&gt;=29,EOMONTH(S$5,0),S$5+6),"●",""))</f>
        <v/>
      </c>
      <c r="T33" s="53" t="str">
        <f ca="1">IF(OR(NOT(ISNUMBER(T$5)),N(Plano!$G30)=0,N(Plano!$K30)=0),"",IF(Plano!$K30+Plano!$G30*MAX(0,ROUNDUP((T$5-Plano!$K30)/Plano!$G30,0))&lt;=IF(DAY(T$5)&gt;=29,EOMONTH(T$5,0),T$5+6),"●",""))</f>
        <v/>
      </c>
      <c r="U33" s="54" t="str">
        <f ca="1">IF(OR(NOT(ISNUMBER(U$5)),N(Plano!$G30)=0,N(Plano!$K30)=0),"",IF(Plano!$K30+Plano!$G30*MAX(0,ROUNDUP((U$5-Plano!$K30)/Plano!$G30,0))&lt;=IF(DAY(U$5)&gt;=29,EOMONTH(U$5,0),U$5+6),"●",""))</f>
        <v/>
      </c>
      <c r="V33" s="53" t="str">
        <f ca="1">IF(OR(NOT(ISNUMBER(V$5)),N(Plano!$G30)=0,N(Plano!$K30)=0),"",IF(Plano!$K30+Plano!$G30*MAX(0,ROUNDUP((V$5-Plano!$K30)/Plano!$G30,0))&lt;=IF(DAY(V$5)&gt;=29,EOMONTH(V$5,0),V$5+6),"●",""))</f>
        <v/>
      </c>
      <c r="W33" s="53" t="str">
        <f ca="1">IF(OR(NOT(ISNUMBER(W$5)),N(Plano!$G30)=0,N(Plano!$K30)=0),"",IF(Plano!$K30+Plano!$G30*MAX(0,ROUNDUP((W$5-Plano!$K30)/Plano!$G30,0))&lt;=IF(DAY(W$5)&gt;=29,EOMONTH(W$5,0),W$5+6),"●",""))</f>
        <v/>
      </c>
      <c r="X33" s="53" t="str">
        <f ca="1">IF(OR(NOT(ISNUMBER(X$5)),N(Plano!$G30)=0,N(Plano!$K30)=0),"",IF(Plano!$K30+Plano!$G30*MAX(0,ROUNDUP((X$5-Plano!$K30)/Plano!$G30,0))&lt;=IF(DAY(X$5)&gt;=29,EOMONTH(X$5,0),X$5+6),"●",""))</f>
        <v/>
      </c>
      <c r="Y33" s="53" t="str">
        <f ca="1">IF(OR(NOT(ISNUMBER(Y$5)),N(Plano!$G30)=0,N(Plano!$K30)=0),"",IF(Plano!$K30+Plano!$G30*MAX(0,ROUNDUP((Y$5-Plano!$K30)/Plano!$G30,0))&lt;=IF(DAY(Y$5)&gt;=29,EOMONTH(Y$5,0),Y$5+6),"●",""))</f>
        <v/>
      </c>
      <c r="Z33" s="54" t="str">
        <f ca="1">IF(OR(NOT(ISNUMBER(Z$5)),N(Plano!$G30)=0,N(Plano!$K30)=0),"",IF(Plano!$K30+Plano!$G30*MAX(0,ROUNDUP((Z$5-Plano!$K30)/Plano!$G30,0))&lt;=IF(DAY(Z$5)&gt;=29,EOMONTH(Z$5,0),Z$5+6),"●",""))</f>
        <v/>
      </c>
      <c r="AA33" s="53" t="str">
        <f ca="1">IF(OR(NOT(ISNUMBER(AA$5)),N(Plano!$G30)=0,N(Plano!$K30)=0),"",IF(Plano!$K30+Plano!$G30*MAX(0,ROUNDUP((AA$5-Plano!$K30)/Plano!$G30,0))&lt;=IF(DAY(AA$5)&gt;=29,EOMONTH(AA$5,0),AA$5+6),"●",""))</f>
        <v/>
      </c>
      <c r="AB33" s="53" t="str">
        <f ca="1">IF(OR(NOT(ISNUMBER(AB$5)),N(Plano!$G30)=0,N(Plano!$K30)=0),"",IF(Plano!$K30+Plano!$G30*MAX(0,ROUNDUP((AB$5-Plano!$K30)/Plano!$G30,0))&lt;=IF(DAY(AB$5)&gt;=29,EOMONTH(AB$5,0),AB$5+6),"●",""))</f>
        <v/>
      </c>
      <c r="AC33" s="53" t="str">
        <f ca="1">IF(OR(NOT(ISNUMBER(AC$5)),N(Plano!$G30)=0,N(Plano!$K30)=0),"",IF(Plano!$K30+Plano!$G30*MAX(0,ROUNDUP((AC$5-Plano!$K30)/Plano!$G30,0))&lt;=IF(DAY(AC$5)&gt;=29,EOMONTH(AC$5,0),AC$5+6),"●",""))</f>
        <v/>
      </c>
      <c r="AD33" s="53" t="str">
        <f ca="1">IF(OR(NOT(ISNUMBER(AD$5)),N(Plano!$G30)=0,N(Plano!$K30)=0),"",IF(Plano!$K30+Plano!$G30*MAX(0,ROUNDUP((AD$5-Plano!$K30)/Plano!$G30,0))&lt;=IF(DAY(AD$5)&gt;=29,EOMONTH(AD$5,0),AD$5+6),"●",""))</f>
        <v/>
      </c>
      <c r="AE33" s="54" t="str">
        <f ca="1">IF(OR(NOT(ISNUMBER(AE$5)),N(Plano!$G30)=0,N(Plano!$K30)=0),"",IF(Plano!$K30+Plano!$G30*MAX(0,ROUNDUP((AE$5-Plano!$K30)/Plano!$G30,0))&lt;=IF(DAY(AE$5)&gt;=29,EOMONTH(AE$5,0),AE$5+6),"●",""))</f>
        <v/>
      </c>
      <c r="AF33" s="53" t="str">
        <f ca="1">IF(OR(NOT(ISNUMBER(AF$5)),N(Plano!$G30)=0,N(Plano!$K30)=0),"",IF(Plano!$K30+Plano!$G30*MAX(0,ROUNDUP((AF$5-Plano!$K30)/Plano!$G30,0))&lt;=IF(DAY(AF$5)&gt;=29,EOMONTH(AF$5,0),AF$5+6),"●",""))</f>
        <v/>
      </c>
      <c r="AG33" s="53" t="str">
        <f ca="1">IF(OR(NOT(ISNUMBER(AG$5)),N(Plano!$G30)=0,N(Plano!$K30)=0),"",IF(Plano!$K30+Plano!$G30*MAX(0,ROUNDUP((AG$5-Plano!$K30)/Plano!$G30,0))&lt;=IF(DAY(AG$5)&gt;=29,EOMONTH(AG$5,0),AG$5+6),"●",""))</f>
        <v/>
      </c>
      <c r="AH33" s="53" t="str">
        <f ca="1">IF(OR(NOT(ISNUMBER(AH$5)),N(Plano!$G30)=0,N(Plano!$K30)=0),"",IF(Plano!$K30+Plano!$G30*MAX(0,ROUNDUP((AH$5-Plano!$K30)/Plano!$G30,0))&lt;=IF(DAY(AH$5)&gt;=29,EOMONTH(AH$5,0),AH$5+6),"●",""))</f>
        <v/>
      </c>
      <c r="AI33" s="53" t="str">
        <f ca="1">IF(OR(NOT(ISNUMBER(AI$5)),N(Plano!$G30)=0,N(Plano!$K30)=0),"",IF(Plano!$K30+Plano!$G30*MAX(0,ROUNDUP((AI$5-Plano!$K30)/Plano!$G30,0))&lt;=IF(DAY(AI$5)&gt;=29,EOMONTH(AI$5,0),AI$5+6),"●",""))</f>
        <v/>
      </c>
      <c r="AJ33" s="54" t="str">
        <f ca="1">IF(OR(NOT(ISNUMBER(AJ$5)),N(Plano!$G30)=0,N(Plano!$K30)=0),"",IF(Plano!$K30+Plano!$G30*MAX(0,ROUNDUP((AJ$5-Plano!$K30)/Plano!$G30,0))&lt;=IF(DAY(AJ$5)&gt;=29,EOMONTH(AJ$5,0),AJ$5+6),"●",""))</f>
        <v/>
      </c>
      <c r="AK33" s="53" t="str">
        <f ca="1">IF(OR(NOT(ISNUMBER(AK$5)),N(Plano!$G30)=0,N(Plano!$K30)=0),"",IF(Plano!$K30+Plano!$G30*MAX(0,ROUNDUP((AK$5-Plano!$K30)/Plano!$G30,0))&lt;=IF(DAY(AK$5)&gt;=29,EOMONTH(AK$5,0),AK$5+6),"●",""))</f>
        <v/>
      </c>
      <c r="AL33" s="53" t="str">
        <f ca="1">IF(OR(NOT(ISNUMBER(AL$5)),N(Plano!$G30)=0,N(Plano!$K30)=0),"",IF(Plano!$K30+Plano!$G30*MAX(0,ROUNDUP((AL$5-Plano!$K30)/Plano!$G30,0))&lt;=IF(DAY(AL$5)&gt;=29,EOMONTH(AL$5,0),AL$5+6),"●",""))</f>
        <v/>
      </c>
      <c r="AM33" s="53" t="str">
        <f ca="1">IF(OR(NOT(ISNUMBER(AM$5)),N(Plano!$G30)=0,N(Plano!$K30)=0),"",IF(Plano!$K30+Plano!$G30*MAX(0,ROUNDUP((AM$5-Plano!$K30)/Plano!$G30,0))&lt;=IF(DAY(AM$5)&gt;=29,EOMONTH(AM$5,0),AM$5+6),"●",""))</f>
        <v/>
      </c>
      <c r="AN33" s="53" t="str">
        <f ca="1">IF(OR(NOT(ISNUMBER(AN$5)),N(Plano!$G30)=0,N(Plano!$K30)=0),"",IF(Plano!$K30+Plano!$G30*MAX(0,ROUNDUP((AN$5-Plano!$K30)/Plano!$G30,0))&lt;=IF(DAY(AN$5)&gt;=29,EOMONTH(AN$5,0),AN$5+6),"●",""))</f>
        <v/>
      </c>
      <c r="AO33" s="54" t="str">
        <f ca="1">IF(OR(NOT(ISNUMBER(AO$5)),N(Plano!$G30)=0,N(Plano!$K30)=0),"",IF(Plano!$K30+Plano!$G30*MAX(0,ROUNDUP((AO$5-Plano!$K30)/Plano!$G30,0))&lt;=IF(DAY(AO$5)&gt;=29,EOMONTH(AO$5,0),AO$5+6),"●",""))</f>
        <v/>
      </c>
      <c r="AP33" s="53" t="str">
        <f ca="1">IF(OR(NOT(ISNUMBER(AP$5)),N(Plano!$G30)=0,N(Plano!$K30)=0),"",IF(Plano!$K30+Plano!$G30*MAX(0,ROUNDUP((AP$5-Plano!$K30)/Plano!$G30,0))&lt;=IF(DAY(AP$5)&gt;=29,EOMONTH(AP$5,0),AP$5+6),"●",""))</f>
        <v/>
      </c>
      <c r="AQ33" s="53" t="str">
        <f ca="1">IF(OR(NOT(ISNUMBER(AQ$5)),N(Plano!$G30)=0,N(Plano!$K30)=0),"",IF(Plano!$K30+Plano!$G30*MAX(0,ROUNDUP((AQ$5-Plano!$K30)/Plano!$G30,0))&lt;=IF(DAY(AQ$5)&gt;=29,EOMONTH(AQ$5,0),AQ$5+6),"●",""))</f>
        <v/>
      </c>
      <c r="AR33" s="53" t="str">
        <f ca="1">IF(OR(NOT(ISNUMBER(AR$5)),N(Plano!$G30)=0,N(Plano!$K30)=0),"",IF(Plano!$K30+Plano!$G30*MAX(0,ROUNDUP((AR$5-Plano!$K30)/Plano!$G30,0))&lt;=IF(DAY(AR$5)&gt;=29,EOMONTH(AR$5,0),AR$5+6),"●",""))</f>
        <v/>
      </c>
      <c r="AS33" s="53" t="str">
        <f ca="1">IF(OR(NOT(ISNUMBER(AS$5)),N(Plano!$G30)=0,N(Plano!$K30)=0),"",IF(Plano!$K30+Plano!$G30*MAX(0,ROUNDUP((AS$5-Plano!$K30)/Plano!$G30,0))&lt;=IF(DAY(AS$5)&gt;=29,EOMONTH(AS$5,0),AS$5+6),"●",""))</f>
        <v/>
      </c>
      <c r="AT33" s="54" t="str">
        <f ca="1">IF(OR(NOT(ISNUMBER(AT$5)),N(Plano!$G30)=0,N(Plano!$K30)=0),"",IF(Plano!$K30+Plano!$G30*MAX(0,ROUNDUP((AT$5-Plano!$K30)/Plano!$G30,0))&lt;=IF(DAY(AT$5)&gt;=29,EOMONTH(AT$5,0),AT$5+6),"●",""))</f>
        <v/>
      </c>
      <c r="AU33" s="53" t="str">
        <f ca="1">IF(OR(NOT(ISNUMBER(AU$5)),N(Plano!$G30)=0,N(Plano!$K30)=0),"",IF(Plano!$K30+Plano!$G30*MAX(0,ROUNDUP((AU$5-Plano!$K30)/Plano!$G30,0))&lt;=IF(DAY(AU$5)&gt;=29,EOMONTH(AU$5,0),AU$5+6),"●",""))</f>
        <v/>
      </c>
      <c r="AV33" s="53" t="str">
        <f ca="1">IF(OR(NOT(ISNUMBER(AV$5)),N(Plano!$G30)=0,N(Plano!$K30)=0),"",IF(Plano!$K30+Plano!$G30*MAX(0,ROUNDUP((AV$5-Plano!$K30)/Plano!$G30,0))&lt;=IF(DAY(AV$5)&gt;=29,EOMONTH(AV$5,0),AV$5+6),"●",""))</f>
        <v/>
      </c>
      <c r="AW33" s="53" t="str">
        <f ca="1">IF(OR(NOT(ISNUMBER(AW$5)),N(Plano!$G30)=0,N(Plano!$K30)=0),"",IF(Plano!$K30+Plano!$G30*MAX(0,ROUNDUP((AW$5-Plano!$K30)/Plano!$G30,0))&lt;=IF(DAY(AW$5)&gt;=29,EOMONTH(AW$5,0),AW$5+6),"●",""))</f>
        <v/>
      </c>
      <c r="AX33" s="53" t="str">
        <f ca="1">IF(OR(NOT(ISNUMBER(AX$5)),N(Plano!$G30)=0,N(Plano!$K30)=0),"",IF(Plano!$K30+Plano!$G30*MAX(0,ROUNDUP((AX$5-Plano!$K30)/Plano!$G30,0))&lt;=IF(DAY(AX$5)&gt;=29,EOMONTH(AX$5,0),AX$5+6),"●",""))</f>
        <v/>
      </c>
      <c r="AY33" s="54" t="str">
        <f ca="1">IF(OR(NOT(ISNUMBER(AY$5)),N(Plano!$G30)=0,N(Plano!$K30)=0),"",IF(Plano!$K30+Plano!$G30*MAX(0,ROUNDUP((AY$5-Plano!$K30)/Plano!$G30,0))&lt;=IF(DAY(AY$5)&gt;=29,EOMONTH(AY$5,0),AY$5+6),"●",""))</f>
        <v/>
      </c>
      <c r="AZ33" s="53" t="str">
        <f ca="1">IF(OR(NOT(ISNUMBER(AZ$5)),N(Plano!$G30)=0,N(Plano!$K30)=0),"",IF(Plano!$K30+Plano!$G30*MAX(0,ROUNDUP((AZ$5-Plano!$K30)/Plano!$G30,0))&lt;=IF(DAY(AZ$5)&gt;=29,EOMONTH(AZ$5,0),AZ$5+6),"●",""))</f>
        <v/>
      </c>
      <c r="BA33" s="53" t="str">
        <f ca="1">IF(OR(NOT(ISNUMBER(BA$5)),N(Plano!$G30)=0,N(Plano!$K30)=0),"",IF(Plano!$K30+Plano!$G30*MAX(0,ROUNDUP((BA$5-Plano!$K30)/Plano!$G30,0))&lt;=IF(DAY(BA$5)&gt;=29,EOMONTH(BA$5,0),BA$5+6),"●",""))</f>
        <v/>
      </c>
      <c r="BB33" s="53" t="str">
        <f ca="1">IF(OR(NOT(ISNUMBER(BB$5)),N(Plano!$G30)=0,N(Plano!$K30)=0),"",IF(Plano!$K30+Plano!$G30*MAX(0,ROUNDUP((BB$5-Plano!$K30)/Plano!$G30,0))&lt;=IF(DAY(BB$5)&gt;=29,EOMONTH(BB$5,0),BB$5+6),"●",""))</f>
        <v/>
      </c>
      <c r="BC33" s="53" t="str">
        <f ca="1">IF(OR(NOT(ISNUMBER(BC$5)),N(Plano!$G30)=0,N(Plano!$K30)=0),"",IF(Plano!$K30+Plano!$G30*MAX(0,ROUNDUP((BC$5-Plano!$K30)/Plano!$G30,0))&lt;=IF(DAY(BC$5)&gt;=29,EOMONTH(BC$5,0),BC$5+6),"●",""))</f>
        <v/>
      </c>
      <c r="BD33" s="54" t="str">
        <f ca="1">IF(OR(NOT(ISNUMBER(BD$5)),N(Plano!$G30)=0,N(Plano!$K30)=0),"",IF(Plano!$K30+Plano!$G30*MAX(0,ROUNDUP((BD$5-Plano!$K30)/Plano!$G30,0))&lt;=IF(DAY(BD$5)&gt;=29,EOMONTH(BD$5,0),BD$5+6),"●",""))</f>
        <v/>
      </c>
      <c r="BE33" s="53" t="str">
        <f ca="1">IF(OR(NOT(ISNUMBER(BE$5)),N(Plano!$G30)=0,N(Plano!$K30)=0),"",IF(Plano!$K30+Plano!$G30*MAX(0,ROUNDUP((BE$5-Plano!$K30)/Plano!$G30,0))&lt;=IF(DAY(BE$5)&gt;=29,EOMONTH(BE$5,0),BE$5+6),"●",""))</f>
        <v/>
      </c>
      <c r="BF33" s="53" t="str">
        <f ca="1">IF(OR(NOT(ISNUMBER(BF$5)),N(Plano!$G30)=0,N(Plano!$K30)=0),"",IF(Plano!$K30+Plano!$G30*MAX(0,ROUNDUP((BF$5-Plano!$K30)/Plano!$G30,0))&lt;=IF(DAY(BF$5)&gt;=29,EOMONTH(BF$5,0),BF$5+6),"●",""))</f>
        <v/>
      </c>
      <c r="BG33" s="53" t="str">
        <f ca="1">IF(OR(NOT(ISNUMBER(BG$5)),N(Plano!$G30)=0,N(Plano!$K30)=0),"",IF(Plano!$K30+Plano!$G30*MAX(0,ROUNDUP((BG$5-Plano!$K30)/Plano!$G30,0))&lt;=IF(DAY(BG$5)&gt;=29,EOMONTH(BG$5,0),BG$5+6),"●",""))</f>
        <v/>
      </c>
      <c r="BH33" s="53" t="str">
        <f ca="1">IF(OR(NOT(ISNUMBER(BH$5)),N(Plano!$G30)=0,N(Plano!$K30)=0),"",IF(Plano!$K30+Plano!$G30*MAX(0,ROUNDUP((BH$5-Plano!$K30)/Plano!$G30,0))&lt;=IF(DAY(BH$5)&gt;=29,EOMONTH(BH$5,0),BH$5+6),"●",""))</f>
        <v/>
      </c>
      <c r="BI33" s="54" t="str">
        <f ca="1">IF(OR(NOT(ISNUMBER(BI$5)),N(Plano!$G30)=0,N(Plano!$K30)=0),"",IF(Plano!$K30+Plano!$G30*MAX(0,ROUNDUP((BI$5-Plano!$K30)/Plano!$G30,0))&lt;=IF(DAY(BI$5)&gt;=29,EOMONTH(BI$5,0),BI$5+6),"●",""))</f>
        <v/>
      </c>
      <c r="BJ33" s="53" t="str">
        <f ca="1">IF(OR(NOT(ISNUMBER(BJ$5)),N(Plano!$G30)=0,N(Plano!$K30)=0),"",IF(Plano!$K30+Plano!$G30*MAX(0,ROUNDUP((BJ$5-Plano!$K30)/Plano!$G30,0))&lt;=IF(DAY(BJ$5)&gt;=29,EOMONTH(BJ$5,0),BJ$5+6),"●",""))</f>
        <v/>
      </c>
      <c r="BK33" s="53" t="str">
        <f ca="1">IF(OR(NOT(ISNUMBER(BK$5)),N(Plano!$G30)=0,N(Plano!$K30)=0),"",IF(Plano!$K30+Plano!$G30*MAX(0,ROUNDUP((BK$5-Plano!$K30)/Plano!$G30,0))&lt;=IF(DAY(BK$5)&gt;=29,EOMONTH(BK$5,0),BK$5+6),"●",""))</f>
        <v/>
      </c>
      <c r="BL33" s="53" t="str">
        <f ca="1">IF(OR(NOT(ISNUMBER(BL$5)),N(Plano!$G30)=0,N(Plano!$K30)=0),"",IF(Plano!$K30+Plano!$G30*MAX(0,ROUNDUP((BL$5-Plano!$K30)/Plano!$G30,0))&lt;=IF(DAY(BL$5)&gt;=29,EOMONTH(BL$5,0),BL$5+6),"●",""))</f>
        <v/>
      </c>
      <c r="BM33" s="55" t="str">
        <f ca="1">IF(OR(NOT(ISNUMBER(BM$5)),N(Plano!$G30)=0,N(Plano!$K30)=0),"",IF(Plano!$K30+Plano!$G30*MAX(0,ROUNDUP((BM$5-Plano!$K30)/Plano!$G30,0))&lt;=IF(DAY(BM$5)&gt;=29,EOMONTH(BM$5,0),BM$5+6),"●",""))</f>
        <v/>
      </c>
    </row>
    <row r="34" spans="1:65" ht="28" customHeight="1">
      <c r="A34" s="162" t="s">
        <v>200</v>
      </c>
      <c r="B34" s="163"/>
      <c r="C34" s="163"/>
      <c r="D34" s="163"/>
      <c r="E34" s="163"/>
      <c r="F34" s="56" t="str">
        <f ca="1">IF(SUMPRODUCT(--(F8:F33="●"),Plano!$I$5:$I$30)=0,"",SUMPRODUCT(--(F8:F33="●"),Plano!$I$5:$I$30))</f>
        <v/>
      </c>
      <c r="G34" s="56" t="str">
        <f ca="1">IF(SUMPRODUCT(--(G8:G33="●"),Plano!$I$5:$I$30)=0,"",SUMPRODUCT(--(G8:G33="●"),Plano!$I$5:$I$30))</f>
        <v/>
      </c>
      <c r="H34" s="56" t="str">
        <f ca="1">IF(SUMPRODUCT(--(H8:H33="●"),Plano!$I$5:$I$30)=0,"",SUMPRODUCT(--(H8:H33="●"),Plano!$I$5:$I$30))</f>
        <v/>
      </c>
      <c r="I34" s="56" t="str">
        <f ca="1">IF(SUMPRODUCT(--(I8:I33="●"),Plano!$I$5:$I$30)=0,"",SUMPRODUCT(--(I8:I33="●"),Plano!$I$5:$I$30))</f>
        <v/>
      </c>
      <c r="J34" s="56" t="str">
        <f ca="1">IF(SUMPRODUCT(--(J8:J33="●"),Plano!$I$5:$I$30)=0,"",SUMPRODUCT(--(J8:J33="●"),Plano!$I$5:$I$30))</f>
        <v/>
      </c>
      <c r="K34" s="57" t="str">
        <f ca="1">IF(SUMPRODUCT(--(K8:K33="●"),Plano!$I$5:$I$30)=0,"",SUMPRODUCT(--(K8:K33="●"),Plano!$I$5:$I$30))</f>
        <v/>
      </c>
      <c r="L34" s="56" t="str">
        <f ca="1">IF(SUMPRODUCT(--(L8:L33="●"),Plano!$I$5:$I$30)=0,"",SUMPRODUCT(--(L8:L33="●"),Plano!$I$5:$I$30))</f>
        <v/>
      </c>
      <c r="M34" s="56" t="str">
        <f ca="1">IF(SUMPRODUCT(--(M8:M33="●"),Plano!$I$5:$I$30)=0,"",SUMPRODUCT(--(M8:M33="●"),Plano!$I$5:$I$30))</f>
        <v/>
      </c>
      <c r="N34" s="56" t="str">
        <f ca="1">IF(SUMPRODUCT(--(N8:N33="●"),Plano!$I$5:$I$30)=0,"",SUMPRODUCT(--(N8:N33="●"),Plano!$I$5:$I$30))</f>
        <v/>
      </c>
      <c r="O34" s="56" t="str">
        <f ca="1">IF(SUMPRODUCT(--(O8:O33="●"),Plano!$I$5:$I$30)=0,"",SUMPRODUCT(--(O8:O33="●"),Plano!$I$5:$I$30))</f>
        <v/>
      </c>
      <c r="P34" s="57" t="str">
        <f ca="1">IF(SUMPRODUCT(--(P8:P33="●"),Plano!$I$5:$I$30)=0,"",SUMPRODUCT(--(P8:P33="●"),Plano!$I$5:$I$30))</f>
        <v/>
      </c>
      <c r="Q34" s="56" t="str">
        <f ca="1">IF(SUMPRODUCT(--(Q8:Q33="●"),Plano!$I$5:$I$30)=0,"",SUMPRODUCT(--(Q8:Q33="●"),Plano!$I$5:$I$30))</f>
        <v/>
      </c>
      <c r="R34" s="56" t="str">
        <f ca="1">IF(SUMPRODUCT(--(R8:R33="●"),Plano!$I$5:$I$30)=0,"",SUMPRODUCT(--(R8:R33="●"),Plano!$I$5:$I$30))</f>
        <v/>
      </c>
      <c r="S34" s="56" t="str">
        <f ca="1">IF(SUMPRODUCT(--(S8:S33="●"),Plano!$I$5:$I$30)=0,"",SUMPRODUCT(--(S8:S33="●"),Plano!$I$5:$I$30))</f>
        <v/>
      </c>
      <c r="T34" s="56" t="str">
        <f ca="1">IF(SUMPRODUCT(--(T8:T33="●"),Plano!$I$5:$I$30)=0,"",SUMPRODUCT(--(T8:T33="●"),Plano!$I$5:$I$30))</f>
        <v/>
      </c>
      <c r="U34" s="57" t="str">
        <f ca="1">IF(SUMPRODUCT(--(U8:U33="●"),Plano!$I$5:$I$30)=0,"",SUMPRODUCT(--(U8:U33="●"),Plano!$I$5:$I$30))</f>
        <v/>
      </c>
      <c r="V34" s="56" t="str">
        <f ca="1">IF(SUMPRODUCT(--(V8:V33="●"),Plano!$I$5:$I$30)=0,"",SUMPRODUCT(--(V8:V33="●"),Plano!$I$5:$I$30))</f>
        <v/>
      </c>
      <c r="W34" s="56" t="str">
        <f ca="1">IF(SUMPRODUCT(--(W8:W33="●"),Plano!$I$5:$I$30)=0,"",SUMPRODUCT(--(W8:W33="●"),Plano!$I$5:$I$30))</f>
        <v/>
      </c>
      <c r="X34" s="56" t="str">
        <f ca="1">IF(SUMPRODUCT(--(X8:X33="●"),Plano!$I$5:$I$30)=0,"",SUMPRODUCT(--(X8:X33="●"),Plano!$I$5:$I$30))</f>
        <v/>
      </c>
      <c r="Y34" s="56" t="str">
        <f ca="1">IF(SUMPRODUCT(--(Y8:Y33="●"),Plano!$I$5:$I$30)=0,"",SUMPRODUCT(--(Y8:Y33="●"),Plano!$I$5:$I$30))</f>
        <v/>
      </c>
      <c r="Z34" s="57" t="str">
        <f ca="1">IF(SUMPRODUCT(--(Z8:Z33="●"),Plano!$I$5:$I$30)=0,"",SUMPRODUCT(--(Z8:Z33="●"),Plano!$I$5:$I$30))</f>
        <v/>
      </c>
      <c r="AA34" s="56" t="str">
        <f ca="1">IF(SUMPRODUCT(--(AA8:AA33="●"),Plano!$I$5:$I$30)=0,"",SUMPRODUCT(--(AA8:AA33="●"),Plano!$I$5:$I$30))</f>
        <v/>
      </c>
      <c r="AB34" s="56" t="str">
        <f ca="1">IF(SUMPRODUCT(--(AB8:AB33="●"),Plano!$I$5:$I$30)=0,"",SUMPRODUCT(--(AB8:AB33="●"),Plano!$I$5:$I$30))</f>
        <v/>
      </c>
      <c r="AC34" s="56" t="str">
        <f ca="1">IF(SUMPRODUCT(--(AC8:AC33="●"),Plano!$I$5:$I$30)=0,"",SUMPRODUCT(--(AC8:AC33="●"),Plano!$I$5:$I$30))</f>
        <v/>
      </c>
      <c r="AD34" s="56" t="str">
        <f ca="1">IF(SUMPRODUCT(--(AD8:AD33="●"),Plano!$I$5:$I$30)=0,"",SUMPRODUCT(--(AD8:AD33="●"),Plano!$I$5:$I$30))</f>
        <v/>
      </c>
      <c r="AE34" s="57" t="str">
        <f ca="1">IF(SUMPRODUCT(--(AE8:AE33="●"),Plano!$I$5:$I$30)=0,"",SUMPRODUCT(--(AE8:AE33="●"),Plano!$I$5:$I$30))</f>
        <v/>
      </c>
      <c r="AF34" s="56" t="str">
        <f ca="1">IF(SUMPRODUCT(--(AF8:AF33="●"),Plano!$I$5:$I$30)=0,"",SUMPRODUCT(--(AF8:AF33="●"),Plano!$I$5:$I$30))</f>
        <v/>
      </c>
      <c r="AG34" s="56" t="str">
        <f ca="1">IF(SUMPRODUCT(--(AG8:AG33="●"),Plano!$I$5:$I$30)=0,"",SUMPRODUCT(--(AG8:AG33="●"),Plano!$I$5:$I$30))</f>
        <v/>
      </c>
      <c r="AH34" s="56" t="str">
        <f ca="1">IF(SUMPRODUCT(--(AH8:AH33="●"),Plano!$I$5:$I$30)=0,"",SUMPRODUCT(--(AH8:AH33="●"),Plano!$I$5:$I$30))</f>
        <v/>
      </c>
      <c r="AI34" s="56" t="str">
        <f ca="1">IF(SUMPRODUCT(--(AI8:AI33="●"),Plano!$I$5:$I$30)=0,"",SUMPRODUCT(--(AI8:AI33="●"),Plano!$I$5:$I$30))</f>
        <v/>
      </c>
      <c r="AJ34" s="57" t="str">
        <f ca="1">IF(SUMPRODUCT(--(AJ8:AJ33="●"),Plano!$I$5:$I$30)=0,"",SUMPRODUCT(--(AJ8:AJ33="●"),Plano!$I$5:$I$30))</f>
        <v/>
      </c>
      <c r="AK34" s="56" t="str">
        <f ca="1">IF(SUMPRODUCT(--(AK8:AK33="●"),Plano!$I$5:$I$30)=0,"",SUMPRODUCT(--(AK8:AK33="●"),Plano!$I$5:$I$30))</f>
        <v/>
      </c>
      <c r="AL34" s="56" t="str">
        <f ca="1">IF(SUMPRODUCT(--(AL8:AL33="●"),Plano!$I$5:$I$30)=0,"",SUMPRODUCT(--(AL8:AL33="●"),Plano!$I$5:$I$30))</f>
        <v/>
      </c>
      <c r="AM34" s="56" t="str">
        <f ca="1">IF(SUMPRODUCT(--(AM8:AM33="●"),Plano!$I$5:$I$30)=0,"",SUMPRODUCT(--(AM8:AM33="●"),Plano!$I$5:$I$30))</f>
        <v/>
      </c>
      <c r="AN34" s="56" t="str">
        <f ca="1">IF(SUMPRODUCT(--(AN8:AN33="●"),Plano!$I$5:$I$30)=0,"",SUMPRODUCT(--(AN8:AN33="●"),Plano!$I$5:$I$30))</f>
        <v/>
      </c>
      <c r="AO34" s="57" t="str">
        <f ca="1">IF(SUMPRODUCT(--(AO8:AO33="●"),Plano!$I$5:$I$30)=0,"",SUMPRODUCT(--(AO8:AO33="●"),Plano!$I$5:$I$30))</f>
        <v/>
      </c>
      <c r="AP34" s="56" t="str">
        <f ca="1">IF(SUMPRODUCT(--(AP8:AP33="●"),Plano!$I$5:$I$30)=0,"",SUMPRODUCT(--(AP8:AP33="●"),Plano!$I$5:$I$30))</f>
        <v/>
      </c>
      <c r="AQ34" s="56" t="str">
        <f ca="1">IF(SUMPRODUCT(--(AQ8:AQ33="●"),Plano!$I$5:$I$30)=0,"",SUMPRODUCT(--(AQ8:AQ33="●"),Plano!$I$5:$I$30))</f>
        <v/>
      </c>
      <c r="AR34" s="56" t="str">
        <f ca="1">IF(SUMPRODUCT(--(AR8:AR33="●"),Plano!$I$5:$I$30)=0,"",SUMPRODUCT(--(AR8:AR33="●"),Plano!$I$5:$I$30))</f>
        <v/>
      </c>
      <c r="AS34" s="56" t="str">
        <f ca="1">IF(SUMPRODUCT(--(AS8:AS33="●"),Plano!$I$5:$I$30)=0,"",SUMPRODUCT(--(AS8:AS33="●"),Plano!$I$5:$I$30))</f>
        <v/>
      </c>
      <c r="AT34" s="57" t="str">
        <f ca="1">IF(SUMPRODUCT(--(AT8:AT33="●"),Plano!$I$5:$I$30)=0,"",SUMPRODUCT(--(AT8:AT33="●"),Plano!$I$5:$I$30))</f>
        <v/>
      </c>
      <c r="AU34" s="56" t="str">
        <f ca="1">IF(SUMPRODUCT(--(AU8:AU33="●"),Plano!$I$5:$I$30)=0,"",SUMPRODUCT(--(AU8:AU33="●"),Plano!$I$5:$I$30))</f>
        <v/>
      </c>
      <c r="AV34" s="56" t="str">
        <f ca="1">IF(SUMPRODUCT(--(AV8:AV33="●"),Plano!$I$5:$I$30)=0,"",SUMPRODUCT(--(AV8:AV33="●"),Plano!$I$5:$I$30))</f>
        <v/>
      </c>
      <c r="AW34" s="56" t="str">
        <f ca="1">IF(SUMPRODUCT(--(AW8:AW33="●"),Plano!$I$5:$I$30)=0,"",SUMPRODUCT(--(AW8:AW33="●"),Plano!$I$5:$I$30))</f>
        <v/>
      </c>
      <c r="AX34" s="56" t="str">
        <f ca="1">IF(SUMPRODUCT(--(AX8:AX33="●"),Plano!$I$5:$I$30)=0,"",SUMPRODUCT(--(AX8:AX33="●"),Plano!$I$5:$I$30))</f>
        <v/>
      </c>
      <c r="AY34" s="57" t="str">
        <f ca="1">IF(SUMPRODUCT(--(AY8:AY33="●"),Plano!$I$5:$I$30)=0,"",SUMPRODUCT(--(AY8:AY33="●"),Plano!$I$5:$I$30))</f>
        <v/>
      </c>
      <c r="AZ34" s="56" t="str">
        <f ca="1">IF(SUMPRODUCT(--(AZ8:AZ33="●"),Plano!$I$5:$I$30)=0,"",SUMPRODUCT(--(AZ8:AZ33="●"),Plano!$I$5:$I$30))</f>
        <v/>
      </c>
      <c r="BA34" s="56" t="str">
        <f ca="1">IF(SUMPRODUCT(--(BA8:BA33="●"),Plano!$I$5:$I$30)=0,"",SUMPRODUCT(--(BA8:BA33="●"),Plano!$I$5:$I$30))</f>
        <v/>
      </c>
      <c r="BB34" s="56" t="str">
        <f ca="1">IF(SUMPRODUCT(--(BB8:BB33="●"),Plano!$I$5:$I$30)=0,"",SUMPRODUCT(--(BB8:BB33="●"),Plano!$I$5:$I$30))</f>
        <v/>
      </c>
      <c r="BC34" s="56" t="str">
        <f ca="1">IF(SUMPRODUCT(--(BC8:BC33="●"),Plano!$I$5:$I$30)=0,"",SUMPRODUCT(--(BC8:BC33="●"),Plano!$I$5:$I$30))</f>
        <v/>
      </c>
      <c r="BD34" s="57" t="str">
        <f ca="1">IF(SUMPRODUCT(--(BD8:BD33="●"),Plano!$I$5:$I$30)=0,"",SUMPRODUCT(--(BD8:BD33="●"),Plano!$I$5:$I$30))</f>
        <v/>
      </c>
      <c r="BE34" s="56" t="str">
        <f ca="1">IF(SUMPRODUCT(--(BE8:BE33="●"),Plano!$I$5:$I$30)=0,"",SUMPRODUCT(--(BE8:BE33="●"),Plano!$I$5:$I$30))</f>
        <v/>
      </c>
      <c r="BF34" s="56" t="str">
        <f ca="1">IF(SUMPRODUCT(--(BF8:BF33="●"),Plano!$I$5:$I$30)=0,"",SUMPRODUCT(--(BF8:BF33="●"),Plano!$I$5:$I$30))</f>
        <v/>
      </c>
      <c r="BG34" s="56" t="str">
        <f ca="1">IF(SUMPRODUCT(--(BG8:BG33="●"),Plano!$I$5:$I$30)=0,"",SUMPRODUCT(--(BG8:BG33="●"),Plano!$I$5:$I$30))</f>
        <v/>
      </c>
      <c r="BH34" s="56" t="str">
        <f ca="1">IF(SUMPRODUCT(--(BH8:BH33="●"),Plano!$I$5:$I$30)=0,"",SUMPRODUCT(--(BH8:BH33="●"),Plano!$I$5:$I$30))</f>
        <v/>
      </c>
      <c r="BI34" s="57" t="str">
        <f ca="1">IF(SUMPRODUCT(--(BI8:BI33="●"),Plano!$I$5:$I$30)=0,"",SUMPRODUCT(--(BI8:BI33="●"),Plano!$I$5:$I$30))</f>
        <v/>
      </c>
      <c r="BJ34" s="56" t="str">
        <f ca="1">IF(SUMPRODUCT(--(BJ8:BJ33="●"),Plano!$I$5:$I$30)=0,"",SUMPRODUCT(--(BJ8:BJ33="●"),Plano!$I$5:$I$30))</f>
        <v/>
      </c>
      <c r="BK34" s="56" t="str">
        <f ca="1">IF(SUMPRODUCT(--(BK8:BK33="●"),Plano!$I$5:$I$30)=0,"",SUMPRODUCT(--(BK8:BK33="●"),Plano!$I$5:$I$30))</f>
        <v/>
      </c>
      <c r="BL34" s="56" t="str">
        <f ca="1">IF(SUMPRODUCT(--(BL8:BL33="●"),Plano!$I$5:$I$30)=0,"",SUMPRODUCT(--(BL8:BL33="●"),Plano!$I$5:$I$30))</f>
        <v/>
      </c>
      <c r="BM34" s="58" t="str">
        <f ca="1">IF(SUMPRODUCT(--(BM8:BM33="●"),Plano!$I$5:$I$30)=0,"",SUMPRODUCT(--(BM8:BM33="●"),Plano!$I$5:$I$30))</f>
        <v/>
      </c>
    </row>
    <row r="35" spans="1:65" ht="20" customHeight="1">
      <c r="A35" s="143" t="s">
        <v>201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</row>
  </sheetData>
  <mergeCells count="30">
    <mergeCell ref="E1:AX1"/>
    <mergeCell ref="AY6:BC6"/>
    <mergeCell ref="K6:O6"/>
    <mergeCell ref="D3:E3"/>
    <mergeCell ref="AE6:AI6"/>
    <mergeCell ref="F4:AI4"/>
    <mergeCell ref="B5:C5"/>
    <mergeCell ref="AO6:AS6"/>
    <mergeCell ref="A4:C4"/>
    <mergeCell ref="AJ4:BM4"/>
    <mergeCell ref="AJ6:AN6"/>
    <mergeCell ref="BI6:BM6"/>
    <mergeCell ref="D4:E4"/>
    <mergeCell ref="BD6:BH6"/>
    <mergeCell ref="A23:BM23"/>
    <mergeCell ref="A34:E34"/>
    <mergeCell ref="A1:D2"/>
    <mergeCell ref="A35:BM35"/>
    <mergeCell ref="Z6:AD6"/>
    <mergeCell ref="U6:Y6"/>
    <mergeCell ref="F3:AI3"/>
    <mergeCell ref="AT6:AX6"/>
    <mergeCell ref="A3:C3"/>
    <mergeCell ref="F6:J6"/>
    <mergeCell ref="E2:AX2"/>
    <mergeCell ref="A6:E6"/>
    <mergeCell ref="AY2:BM2"/>
    <mergeCell ref="P6:T6"/>
    <mergeCell ref="AJ3:BM3"/>
    <mergeCell ref="AY1:BM1"/>
  </mergeCells>
  <dataValidations count="1">
    <dataValidation type="list" allowBlank="1" showErrorMessage="1" errorTitle="Valor fora da lista" error="Escolha um item da lista." sqref="A4" xr:uid="{00000000-0002-0000-0400-000000000000}">
      <formula1>"2025,2026,2027,2028,2029,2030,2031,2032,2033,2034,2035"</formula1>
    </dataValidation>
  </dataValidations>
  <printOptions horizontalCentered="1"/>
  <pageMargins left="0.4" right="0.4" top="0.45" bottom="0.6" header="0.2" footer="0.25"/>
  <pageSetup paperSize="9" orientation="landscape"/>
  <headerFooter>
    <oddFooter>&amp;L&amp;7 &amp;K4A5668PCM-MAN-002  ·  Manutenção planejada. Direto ao ponto.&amp;C&amp;7 &amp;K4A5668Página &amp;P de &amp;N&amp;R&amp;7 &amp;K4A5668PCM Direto  ·  Impresso em &amp;D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5AA6"/>
    <pageSetUpPr fitToPage="1"/>
  </sheetPr>
  <dimension ref="A1:J30"/>
  <sheetViews>
    <sheetView showGridLines="0" zoomScale="90" workbookViewId="0">
      <pane ySplit="4" topLeftCell="A5" activePane="bottomLeft" state="frozen"/>
      <selection pane="bottomLeft" sqref="A1:B2"/>
    </sheetView>
  </sheetViews>
  <sheetFormatPr defaultRowHeight="14.5"/>
  <cols>
    <col min="1" max="1" width="18" customWidth="1"/>
    <col min="2" max="2" width="34" customWidth="1"/>
    <col min="3" max="3" width="22" customWidth="1"/>
    <col min="4" max="4" width="20" customWidth="1"/>
    <col min="5" max="5" width="3" customWidth="1"/>
    <col min="6" max="6" width="30" customWidth="1"/>
    <col min="7" max="7" width="3" customWidth="1"/>
    <col min="8" max="8" width="30" customWidth="1"/>
    <col min="9" max="9" width="3" customWidth="1"/>
    <col min="10" max="10" width="24" customWidth="1"/>
  </cols>
  <sheetData>
    <row r="1" spans="1:10" ht="30.75" customHeight="1">
      <c r="A1" s="176"/>
      <c r="B1" s="170"/>
      <c r="C1" s="174" t="s">
        <v>30</v>
      </c>
      <c r="D1" s="169"/>
      <c r="E1" s="169"/>
      <c r="F1" s="169"/>
      <c r="G1" s="170"/>
      <c r="H1" s="168" t="str">
        <f>"Rev. "&amp;'Leia-me'!$D$15&amp;"   ·   "&amp;'Leia-me'!$D$16</f>
        <v>Rev. 00   ·   30/Out/2026</v>
      </c>
      <c r="I1" s="169"/>
      <c r="J1" s="170"/>
    </row>
    <row r="2" spans="1:10" ht="28" customHeight="1">
      <c r="A2" s="177"/>
      <c r="B2" s="173"/>
      <c r="C2" s="171" t="s">
        <v>202</v>
      </c>
      <c r="D2" s="172"/>
      <c r="E2" s="172"/>
      <c r="F2" s="172"/>
      <c r="G2" s="173"/>
      <c r="H2" s="171" t="str">
        <f>"Elaborado: "&amp;'Leia-me'!$D$13&amp;"   ·   Aprovado: "&amp;'Leia-me'!$D$14</f>
        <v xml:space="preserve">Elaborado:    ·   Aprovado: </v>
      </c>
      <c r="I2" s="172"/>
      <c r="J2" s="173"/>
    </row>
    <row r="3" spans="1:10" ht="32" customHeight="1">
      <c r="A3" s="59" t="s">
        <v>198</v>
      </c>
      <c r="B3" s="60" t="s">
        <v>63</v>
      </c>
      <c r="C3" s="60" t="s">
        <v>203</v>
      </c>
      <c r="D3" s="61" t="s">
        <v>204</v>
      </c>
      <c r="F3" s="62" t="s">
        <v>205</v>
      </c>
      <c r="H3" s="62" t="s">
        <v>64</v>
      </c>
      <c r="J3" s="62" t="s">
        <v>206</v>
      </c>
    </row>
    <row r="4" spans="1:10" hidden="1">
      <c r="A4" s="63" t="s">
        <v>207</v>
      </c>
      <c r="B4" s="63" t="s">
        <v>208</v>
      </c>
      <c r="C4" s="63" t="s">
        <v>209</v>
      </c>
      <c r="D4" s="63" t="s">
        <v>210</v>
      </c>
      <c r="F4" s="63" t="s">
        <v>211</v>
      </c>
      <c r="H4" s="63" t="s">
        <v>212</v>
      </c>
      <c r="J4" s="63" t="s">
        <v>213</v>
      </c>
    </row>
    <row r="5" spans="1:10" ht="22" customHeight="1">
      <c r="A5" s="64"/>
      <c r="B5" s="65"/>
      <c r="C5" s="65"/>
      <c r="D5" s="66"/>
      <c r="F5" s="67"/>
      <c r="H5" s="67"/>
      <c r="J5" s="67"/>
    </row>
    <row r="6" spans="1:10" ht="22" customHeight="1">
      <c r="A6" s="64"/>
      <c r="B6" s="65"/>
      <c r="C6" s="65"/>
      <c r="D6" s="66"/>
      <c r="F6" s="67"/>
      <c r="H6" s="67"/>
      <c r="J6" s="67"/>
    </row>
    <row r="7" spans="1:10" ht="22" customHeight="1">
      <c r="A7" s="64"/>
      <c r="B7" s="65"/>
      <c r="C7" s="65"/>
      <c r="D7" s="66"/>
      <c r="F7" s="67"/>
      <c r="H7" s="67"/>
      <c r="J7" s="67"/>
    </row>
    <row r="8" spans="1:10" ht="22" customHeight="1">
      <c r="A8" s="64"/>
      <c r="B8" s="65"/>
      <c r="C8" s="65"/>
      <c r="D8" s="66"/>
      <c r="F8" s="67"/>
      <c r="H8" s="67"/>
      <c r="J8" s="67"/>
    </row>
    <row r="9" spans="1:10" ht="22" customHeight="1">
      <c r="A9" s="64"/>
      <c r="B9" s="65"/>
      <c r="C9" s="65"/>
      <c r="D9" s="66"/>
      <c r="F9" s="67"/>
      <c r="H9" s="67"/>
      <c r="J9" s="67"/>
    </row>
    <row r="10" spans="1:10" ht="22" customHeight="1">
      <c r="A10" s="64"/>
      <c r="B10" s="65"/>
      <c r="C10" s="65"/>
      <c r="D10" s="66"/>
      <c r="F10" s="67"/>
      <c r="H10" s="67"/>
      <c r="J10" s="67"/>
    </row>
    <row r="11" spans="1:10" ht="22" customHeight="1">
      <c r="A11" s="64"/>
      <c r="B11" s="65"/>
      <c r="C11" s="65"/>
      <c r="D11" s="66"/>
      <c r="F11" s="67"/>
      <c r="H11" s="67"/>
      <c r="J11" s="67"/>
    </row>
    <row r="12" spans="1:10" ht="22" customHeight="1">
      <c r="A12" s="64"/>
      <c r="B12" s="65"/>
      <c r="C12" s="65"/>
      <c r="D12" s="66"/>
      <c r="F12" s="67"/>
      <c r="H12" s="67"/>
      <c r="J12" s="67"/>
    </row>
    <row r="13" spans="1:10" ht="22" customHeight="1">
      <c r="A13" s="64"/>
      <c r="B13" s="65"/>
      <c r="C13" s="65"/>
      <c r="D13" s="66"/>
      <c r="F13" s="67"/>
      <c r="H13" s="67"/>
      <c r="J13" s="67"/>
    </row>
    <row r="14" spans="1:10" ht="22" customHeight="1">
      <c r="A14" s="64"/>
      <c r="B14" s="65"/>
      <c r="C14" s="65"/>
      <c r="D14" s="66"/>
      <c r="F14" s="67"/>
      <c r="H14" s="67"/>
      <c r="J14" s="67"/>
    </row>
    <row r="15" spans="1:10" ht="22" customHeight="1">
      <c r="A15" s="64"/>
      <c r="B15" s="65"/>
      <c r="C15" s="65"/>
      <c r="D15" s="66"/>
      <c r="F15" s="67"/>
      <c r="H15" s="67"/>
      <c r="J15" s="67"/>
    </row>
    <row r="16" spans="1:10" ht="22" customHeight="1">
      <c r="A16" s="64"/>
      <c r="B16" s="65"/>
      <c r="C16" s="65"/>
      <c r="D16" s="66"/>
      <c r="F16" s="67"/>
      <c r="H16" s="67"/>
      <c r="J16" s="67"/>
    </row>
    <row r="17" spans="1:10" ht="22" customHeight="1">
      <c r="A17" s="64"/>
      <c r="B17" s="65"/>
      <c r="C17" s="65"/>
      <c r="D17" s="66"/>
      <c r="F17" s="67"/>
      <c r="H17" s="67"/>
      <c r="J17" s="67"/>
    </row>
    <row r="18" spans="1:10" ht="22" customHeight="1">
      <c r="A18" s="64"/>
      <c r="B18" s="65"/>
      <c r="C18" s="65"/>
      <c r="D18" s="66"/>
      <c r="F18" s="67"/>
      <c r="H18" s="67"/>
      <c r="J18" s="67"/>
    </row>
    <row r="19" spans="1:10" ht="22" customHeight="1">
      <c r="A19" s="64"/>
      <c r="B19" s="65"/>
      <c r="C19" s="65"/>
      <c r="D19" s="66"/>
      <c r="F19" s="67"/>
      <c r="H19" s="67"/>
      <c r="J19" s="67"/>
    </row>
    <row r="20" spans="1:10" ht="22" customHeight="1">
      <c r="A20" s="64"/>
      <c r="B20" s="65"/>
      <c r="C20" s="65"/>
      <c r="D20" s="66"/>
      <c r="F20" s="67"/>
      <c r="H20" s="67"/>
      <c r="J20" s="67"/>
    </row>
    <row r="21" spans="1:10" ht="22" customHeight="1">
      <c r="A21" s="64"/>
      <c r="B21" s="65"/>
      <c r="C21" s="65"/>
      <c r="D21" s="66"/>
      <c r="F21" s="67"/>
      <c r="H21" s="67"/>
      <c r="J21" s="67"/>
    </row>
    <row r="22" spans="1:10" ht="22" customHeight="1">
      <c r="A22" s="64"/>
      <c r="B22" s="65"/>
      <c r="C22" s="65"/>
      <c r="D22" s="66"/>
      <c r="F22" s="67"/>
      <c r="H22" s="67"/>
      <c r="J22" s="67"/>
    </row>
    <row r="23" spans="1:10" ht="22" customHeight="1">
      <c r="A23" s="64"/>
      <c r="B23" s="65"/>
      <c r="C23" s="65"/>
      <c r="D23" s="66"/>
      <c r="F23" s="67"/>
      <c r="H23" s="67"/>
      <c r="J23" s="67"/>
    </row>
    <row r="24" spans="1:10" ht="22" customHeight="1">
      <c r="A24" s="64"/>
      <c r="B24" s="65"/>
      <c r="C24" s="65"/>
      <c r="D24" s="66"/>
      <c r="F24" s="67"/>
      <c r="H24" s="67"/>
      <c r="J24" s="67"/>
    </row>
    <row r="25" spans="1:10" ht="22" customHeight="1">
      <c r="A25" s="64"/>
      <c r="B25" s="65"/>
      <c r="C25" s="65"/>
      <c r="D25" s="66"/>
      <c r="F25" s="67"/>
      <c r="H25" s="67"/>
      <c r="J25" s="67"/>
    </row>
    <row r="26" spans="1:10" ht="22" customHeight="1">
      <c r="A26" s="64"/>
      <c r="B26" s="65"/>
      <c r="C26" s="65"/>
      <c r="D26" s="66"/>
      <c r="F26" s="67"/>
      <c r="H26" s="67"/>
      <c r="J26" s="67"/>
    </row>
    <row r="27" spans="1:10" ht="22" customHeight="1">
      <c r="A27" s="64"/>
      <c r="B27" s="65"/>
      <c r="C27" s="65"/>
      <c r="D27" s="66"/>
      <c r="F27" s="67"/>
      <c r="H27" s="67"/>
      <c r="J27" s="67"/>
    </row>
    <row r="28" spans="1:10" ht="22" customHeight="1">
      <c r="A28" s="64"/>
      <c r="B28" s="65"/>
      <c r="C28" s="65"/>
      <c r="D28" s="66"/>
      <c r="F28" s="67"/>
      <c r="H28" s="67"/>
      <c r="J28" s="67"/>
    </row>
    <row r="29" spans="1:10" ht="22" customHeight="1">
      <c r="A29" s="68"/>
      <c r="B29" s="69"/>
      <c r="C29" s="69"/>
      <c r="D29" s="70"/>
      <c r="F29" s="71"/>
      <c r="H29" s="71"/>
      <c r="J29" s="71"/>
    </row>
    <row r="30" spans="1:10" ht="20" customHeight="1">
      <c r="A30" s="175" t="s">
        <v>214</v>
      </c>
      <c r="B30" s="88"/>
      <c r="C30" s="88"/>
      <c r="D30" s="88"/>
      <c r="E30" s="88"/>
      <c r="F30" s="88"/>
      <c r="G30" s="88"/>
      <c r="H30" s="88"/>
      <c r="I30" s="88"/>
      <c r="J30" s="88"/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type="list" allowBlank="1" showErrorMessage="1" errorTitle="Valor fora da lista" error="Escolha um item da lista." sqref="C5:C29" xr:uid="{00000000-0002-0000-0500-000000000000}">
      <formula1>L_FAMILIAS</formula1>
    </dataValidation>
    <dataValidation type="list" allowBlank="1" showErrorMessage="1" errorTitle="Valor fora da lista" error="Escolha um item da lista." sqref="D5:D29" xr:uid="{00000000-0002-0000-0500-000001000000}">
      <formula1>L_SETORES</formula1>
    </dataValidation>
  </dataValidations>
  <printOptions horizontalCentered="1"/>
  <pageMargins left="0.4" right="0.4" top="0.45" bottom="0.6" header="0.2" footer="0.25"/>
  <pageSetup paperSize="9" orientation="landscape"/>
  <headerFooter>
    <oddFooter>&amp;L&amp;7 &amp;K4A5668PCM-MAN-002  ·  Manutenção planejada. Direto ao ponto.&amp;C&amp;7 &amp;K4A5668Página &amp;P de &amp;N&amp;R&amp;7 &amp;K4A5668PCM Direto  ·  Impresso em &amp;D</oddFooter>
  </headerFooter>
  <drawing r:id="rId1"/>
  <legacyDrawing r:id="rId2"/>
  <tableParts count="4"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A3AF"/>
    <pageSetUpPr fitToPage="1"/>
  </sheetPr>
  <dimension ref="A1:E30"/>
  <sheetViews>
    <sheetView showGridLines="0" zoomScale="90" workbookViewId="0">
      <pane ySplit="4" topLeftCell="A5" activePane="bottomLeft" state="frozen"/>
      <selection pane="bottomLeft" sqref="A1:B2"/>
    </sheetView>
  </sheetViews>
  <sheetFormatPr defaultRowHeight="14.5"/>
  <cols>
    <col min="1" max="1" width="10" customWidth="1"/>
    <col min="2" max="2" width="14" customWidth="1"/>
    <col min="3" max="3" width="90" customWidth="1"/>
    <col min="4" max="5" width="30" customWidth="1"/>
  </cols>
  <sheetData>
    <row r="1" spans="1:5" ht="30.75" customHeight="1">
      <c r="A1" s="176"/>
      <c r="B1" s="170"/>
      <c r="C1" s="146" t="s">
        <v>215</v>
      </c>
      <c r="D1" s="168" t="str">
        <f>"Rev. "&amp;'Leia-me'!$D$15&amp;"   ·   "&amp;'Leia-me'!$D$16</f>
        <v>Rev. 00   ·   30/Out/2026</v>
      </c>
      <c r="E1" s="170"/>
    </row>
    <row r="2" spans="1:5" ht="28" customHeight="1">
      <c r="A2" s="177"/>
      <c r="B2" s="173"/>
      <c r="C2" s="128" t="s">
        <v>216</v>
      </c>
      <c r="D2" s="171" t="str">
        <f>"Elaborado: "&amp;'Leia-me'!$D$13&amp;"   ·   Aprovado: "&amp;'Leia-me'!$D$14</f>
        <v xml:space="preserve">Elaborado:    ·   Aprovado: </v>
      </c>
      <c r="E2" s="173"/>
    </row>
    <row r="3" spans="1:5" ht="26" customHeight="1">
      <c r="A3" s="59" t="s">
        <v>217</v>
      </c>
      <c r="B3" s="60" t="s">
        <v>218</v>
      </c>
      <c r="C3" s="60" t="s">
        <v>219</v>
      </c>
      <c r="D3" s="60" t="s">
        <v>23</v>
      </c>
      <c r="E3" s="61" t="s">
        <v>25</v>
      </c>
    </row>
    <row r="4" spans="1:5" hidden="1">
      <c r="A4" s="63" t="s">
        <v>220</v>
      </c>
      <c r="B4" s="63" t="s">
        <v>221</v>
      </c>
      <c r="C4" s="63" t="s">
        <v>222</v>
      </c>
      <c r="D4" s="63" t="s">
        <v>223</v>
      </c>
      <c r="E4" s="63" t="s">
        <v>224</v>
      </c>
    </row>
    <row r="5" spans="1:5" ht="22" customHeight="1">
      <c r="A5" s="72" t="s">
        <v>225</v>
      </c>
      <c r="B5" s="73">
        <v>46325</v>
      </c>
      <c r="C5" s="74" t="s">
        <v>226</v>
      </c>
      <c r="D5" s="65"/>
      <c r="E5" s="66"/>
    </row>
    <row r="6" spans="1:5" ht="22" customHeight="1">
      <c r="A6" s="72"/>
      <c r="B6" s="73"/>
      <c r="C6" s="74"/>
      <c r="D6" s="65"/>
      <c r="E6" s="66"/>
    </row>
    <row r="7" spans="1:5" ht="22" customHeight="1">
      <c r="A7" s="72"/>
      <c r="B7" s="73"/>
      <c r="C7" s="74"/>
      <c r="D7" s="65"/>
      <c r="E7" s="66"/>
    </row>
    <row r="8" spans="1:5" ht="22" customHeight="1">
      <c r="A8" s="72"/>
      <c r="B8" s="73"/>
      <c r="C8" s="74"/>
      <c r="D8" s="65"/>
      <c r="E8" s="66"/>
    </row>
    <row r="9" spans="1:5" ht="22" customHeight="1">
      <c r="A9" s="72"/>
      <c r="B9" s="73"/>
      <c r="C9" s="74"/>
      <c r="D9" s="65"/>
      <c r="E9" s="66"/>
    </row>
    <row r="10" spans="1:5" ht="22" customHeight="1">
      <c r="A10" s="72"/>
      <c r="B10" s="73"/>
      <c r="C10" s="74"/>
      <c r="D10" s="65"/>
      <c r="E10" s="66"/>
    </row>
    <row r="11" spans="1:5" ht="22" customHeight="1">
      <c r="A11" s="72"/>
      <c r="B11" s="73"/>
      <c r="C11" s="74"/>
      <c r="D11" s="65"/>
      <c r="E11" s="66"/>
    </row>
    <row r="12" spans="1:5" ht="22" customHeight="1">
      <c r="A12" s="72"/>
      <c r="B12" s="73"/>
      <c r="C12" s="74"/>
      <c r="D12" s="65"/>
      <c r="E12" s="66"/>
    </row>
    <row r="13" spans="1:5" ht="22" customHeight="1">
      <c r="A13" s="72"/>
      <c r="B13" s="73"/>
      <c r="C13" s="74"/>
      <c r="D13" s="65"/>
      <c r="E13" s="66"/>
    </row>
    <row r="14" spans="1:5" ht="22" customHeight="1">
      <c r="A14" s="72"/>
      <c r="B14" s="73"/>
      <c r="C14" s="74"/>
      <c r="D14" s="65"/>
      <c r="E14" s="66"/>
    </row>
    <row r="15" spans="1:5" ht="22" customHeight="1">
      <c r="A15" s="72"/>
      <c r="B15" s="73"/>
      <c r="C15" s="74"/>
      <c r="D15" s="65"/>
      <c r="E15" s="66"/>
    </row>
    <row r="16" spans="1:5" ht="22" customHeight="1">
      <c r="A16" s="72"/>
      <c r="B16" s="73"/>
      <c r="C16" s="74"/>
      <c r="D16" s="65"/>
      <c r="E16" s="66"/>
    </row>
    <row r="17" spans="1:5" ht="22" customHeight="1">
      <c r="A17" s="72"/>
      <c r="B17" s="73"/>
      <c r="C17" s="74"/>
      <c r="D17" s="65"/>
      <c r="E17" s="66"/>
    </row>
    <row r="18" spans="1:5" ht="22" customHeight="1">
      <c r="A18" s="72"/>
      <c r="B18" s="73"/>
      <c r="C18" s="74"/>
      <c r="D18" s="65"/>
      <c r="E18" s="66"/>
    </row>
    <row r="19" spans="1:5" ht="22" customHeight="1">
      <c r="A19" s="72"/>
      <c r="B19" s="73"/>
      <c r="C19" s="74"/>
      <c r="D19" s="65"/>
      <c r="E19" s="66"/>
    </row>
    <row r="20" spans="1:5" ht="22" customHeight="1">
      <c r="A20" s="72"/>
      <c r="B20" s="73"/>
      <c r="C20" s="74"/>
      <c r="D20" s="65"/>
      <c r="E20" s="66"/>
    </row>
    <row r="21" spans="1:5" ht="22" customHeight="1">
      <c r="A21" s="72"/>
      <c r="B21" s="73"/>
      <c r="C21" s="74"/>
      <c r="D21" s="65"/>
      <c r="E21" s="66"/>
    </row>
    <row r="22" spans="1:5" ht="22" customHeight="1">
      <c r="A22" s="72"/>
      <c r="B22" s="73"/>
      <c r="C22" s="74"/>
      <c r="D22" s="65"/>
      <c r="E22" s="66"/>
    </row>
    <row r="23" spans="1:5" ht="22" customHeight="1">
      <c r="A23" s="72"/>
      <c r="B23" s="73"/>
      <c r="C23" s="74"/>
      <c r="D23" s="65"/>
      <c r="E23" s="66"/>
    </row>
    <row r="24" spans="1:5" ht="22" customHeight="1">
      <c r="A24" s="72"/>
      <c r="B24" s="73"/>
      <c r="C24" s="74"/>
      <c r="D24" s="65"/>
      <c r="E24" s="66"/>
    </row>
    <row r="25" spans="1:5" ht="22" customHeight="1">
      <c r="A25" s="72"/>
      <c r="B25" s="73"/>
      <c r="C25" s="74"/>
      <c r="D25" s="65"/>
      <c r="E25" s="66"/>
    </row>
    <row r="26" spans="1:5" ht="22" customHeight="1">
      <c r="A26" s="72"/>
      <c r="B26" s="73"/>
      <c r="C26" s="74"/>
      <c r="D26" s="65"/>
      <c r="E26" s="66"/>
    </row>
    <row r="27" spans="1:5" ht="22" customHeight="1">
      <c r="A27" s="72"/>
      <c r="B27" s="73"/>
      <c r="C27" s="74"/>
      <c r="D27" s="65"/>
      <c r="E27" s="66"/>
    </row>
    <row r="28" spans="1:5" ht="22" customHeight="1">
      <c r="A28" s="72"/>
      <c r="B28" s="73"/>
      <c r="C28" s="74"/>
      <c r="D28" s="65"/>
      <c r="E28" s="66"/>
    </row>
    <row r="29" spans="1:5" ht="22" customHeight="1">
      <c r="A29" s="75"/>
      <c r="B29" s="76"/>
      <c r="C29" s="77"/>
      <c r="D29" s="69"/>
      <c r="E29" s="70"/>
    </row>
    <row r="30" spans="1:5" ht="20" customHeight="1">
      <c r="A30" s="175" t="s">
        <v>214</v>
      </c>
      <c r="B30" s="88"/>
      <c r="C30" s="88"/>
      <c r="D30" s="88"/>
      <c r="E30" s="88"/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type="date" allowBlank="1" showErrorMessage="1" errorTitle="Data inválida" error="Digite uma data válida (dd/mm/aaaa)." sqref="B5:B29" xr:uid="{00000000-0002-0000-0600-000000000000}">
      <formula1>DATE(2000,1,1)</formula1>
      <formula2>DATE(2100,12,31)</formula2>
    </dataValidation>
  </dataValidations>
  <printOptions horizontalCentered="1"/>
  <pageMargins left="0.4" right="0.4" top="0.45" bottom="0.6" header="0.2" footer="0.25"/>
  <pageSetup paperSize="9" orientation="landscape"/>
  <headerFooter>
    <oddFooter>&amp;L&amp;7 &amp;K4A5668PCM-MAN-002  ·  Manutenção planejada. Direto ao ponto.&amp;C&amp;7 &amp;K4A5668Página &amp;P de &amp;N&amp;R&amp;7 &amp;K4A5668PCM Direto  ·  Impresso em &amp;D</oddFooter>
  </headerFooter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13</vt:i4>
      </vt:variant>
    </vt:vector>
  </HeadingPairs>
  <TitlesOfParts>
    <vt:vector size="20" baseType="lpstr">
      <vt:lpstr>Leia-me</vt:lpstr>
      <vt:lpstr>Criticidade</vt:lpstr>
      <vt:lpstr>FMECA</vt:lpstr>
      <vt:lpstr>Plano</vt:lpstr>
      <vt:lpstr>Cronograma</vt:lpstr>
      <vt:lpstr>Cadastros</vt:lpstr>
      <vt:lpstr>Revisões</vt:lpstr>
      <vt:lpstr>Cadastros!Area_de_impressao</vt:lpstr>
      <vt:lpstr>Criticidade!Area_de_impressao</vt:lpstr>
      <vt:lpstr>Cronograma!Area_de_impressao</vt:lpstr>
      <vt:lpstr>FMECA!Area_de_impressao</vt:lpstr>
      <vt:lpstr>'Leia-me'!Area_de_impressao</vt:lpstr>
      <vt:lpstr>Plano!Area_de_impressao</vt:lpstr>
      <vt:lpstr>Revisões!Area_de_impressao</vt:lpstr>
      <vt:lpstr>L_FAMILIAS</vt:lpstr>
      <vt:lpstr>L_PESSOAS</vt:lpstr>
      <vt:lpstr>L_SETORES</vt:lpstr>
      <vt:lpstr>L_TAGS</vt:lpstr>
      <vt:lpstr>Cadastros!Titulos_de_impressao</vt:lpstr>
      <vt:lpstr>Revisões!Titulos_de_impressao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PCM Direto</cp:lastModifiedBy>
  <dcterms:created xsi:type="dcterms:W3CDTF">2026-10-31T03:35:08Z</dcterms:created>
  <dcterms:modified xsi:type="dcterms:W3CDTF">2026-10-31T03:44:54Z</dcterms:modified>
</cp:coreProperties>
</file>