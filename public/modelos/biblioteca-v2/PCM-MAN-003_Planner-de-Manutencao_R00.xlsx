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lanner semanal" sheetId="2" state="visible" r:id="rId2"/>
    <sheet xmlns:r="http://schemas.openxmlformats.org/officeDocument/2006/relationships" name="Planner mensal" sheetId="3" state="visible" r:id="rId3"/>
    <sheet xmlns:r="http://schemas.openxmlformats.org/officeDocument/2006/relationships" name="Planner anual" sheetId="4" state="visible" r:id="rId4"/>
    <sheet xmlns:r="http://schemas.openxmlformats.org/officeDocument/2006/relationships" name="Cadastros" sheetId="5" state="visible" r:id="rId5"/>
    <sheet xmlns:r="http://schemas.openxmlformats.org/officeDocument/2006/relationships" name="Revisões" sheetId="6" state="visible" r:id="rId6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'Leia-me'!$A$1:$G$33</definedName>
    <definedName name="_xlnm.Print_Titles" localSheetId="1">'Planner semanal'!$1:$9</definedName>
    <definedName name="_xlnm.Print_Area" localSheetId="1">'Planner semanal'!$A$1:$P$40</definedName>
    <definedName name="_xlnm.Print_Titles" localSheetId="2">'Planner mensal'!$1:$9</definedName>
    <definedName name="_xlnm.Print_Area" localSheetId="2">'Planner mensal'!$A$1:$AN$40</definedName>
    <definedName name="_xlnm.Print_Titles" localSheetId="3">'Planner anual'!$1:$9</definedName>
    <definedName name="_xlnm.Print_Area" localSheetId="3">'Planner anual'!$A$1:$BQ$40</definedName>
    <definedName name="_xlnm.Print_Titles" localSheetId="4">'Cadastros'!$1:$3</definedName>
    <definedName name="_xlnm.Print_Area" localSheetId="4">'Cadastros'!$A$1:$J$30</definedName>
    <definedName name="_xlnm.Print_Titles" localSheetId="5">'Revisões'!$1:$3</definedName>
    <definedName name="_xlnm.Print_Area" localSheetId="5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4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0E1726"/>
      <sz val="11"/>
    </font>
    <font>
      <name val="Arial"/>
      <b val="1"/>
      <color rgb="000B2A5B"/>
      <sz val="11"/>
    </font>
    <font>
      <name val="Arial"/>
      <b val="1"/>
      <color rgb="001E7A46"/>
      <sz val="11"/>
    </font>
    <font>
      <name val="Arial"/>
      <b val="1"/>
      <color rgb="008A5A00"/>
      <sz val="11"/>
    </font>
    <font>
      <name val="Arial"/>
      <b val="1"/>
      <color rgb="00FFFFFF"/>
      <sz val="8.5"/>
    </font>
    <font>
      <name val="Arial"/>
      <b val="1"/>
      <color rgb="00FFFFFF"/>
      <sz val="7"/>
    </font>
    <font>
      <name val="Arial"/>
      <color rgb="000E1726"/>
      <sz val="8.5"/>
    </font>
    <font>
      <name val="Arial"/>
      <b val="1"/>
      <color rgb="000E1726"/>
      <sz val="8.5"/>
    </font>
    <font>
      <name val="Arial"/>
      <b val="1"/>
      <color rgb="000B2A5B"/>
      <sz val="10"/>
    </font>
    <font>
      <name val="Arial"/>
      <b val="1"/>
      <color rgb="006B7686"/>
      <sz val="8"/>
    </font>
    <font>
      <name val="Arial"/>
      <color rgb="000E1726"/>
      <sz val="8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8"/>
    </font>
    <font>
      <name val="Arial"/>
      <b val="1"/>
      <color rgb="00FFFFFF"/>
      <sz val="6.5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"/>
      <color rgb="000E1726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b val="1"/>
      <color rgb="000E1726"/>
      <sz val="9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CEFF3"/>
      </patternFill>
    </fill>
    <fill>
      <patternFill patternType="solid">
        <fgColor rgb="000B2A5B"/>
      </patternFill>
    </fill>
    <fill>
      <patternFill patternType="solid">
        <fgColor rgb="004A5668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59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right/>
      <top/>
      <bottom/>
      <diagonal/>
    </border>
    <border>
      <left/>
      <right style="thin">
        <color rgb="00D3DEEC"/>
      </right>
      <top/>
      <bottom/>
      <diagonal/>
    </border>
    <border>
      <left style="thin">
        <color rgb="000B2A5B"/>
      </left>
      <top style="thin">
        <color rgb="000B2A5B"/>
      </top>
    </border>
    <border>
      <left style="thin">
        <color rgb="00FFFFFF"/>
      </left>
      <top style="thin">
        <color rgb="000B2A5B"/>
      </top>
    </border>
    <border>
      <left style="thin">
        <color rgb="00FFFFFF"/>
      </left>
      <right style="thin">
        <color rgb="000B2A5B"/>
      </right>
      <top style="thin">
        <color rgb="000B2A5B"/>
      </top>
    </border>
    <border>
      <left style="thin">
        <color rgb="000B2A5B"/>
      </left>
    </border>
    <border>
      <left style="thin">
        <color rgb="00FFFFFF"/>
      </left>
    </border>
    <border>
      <left style="thin">
        <color rgb="00FFFFFF"/>
      </left>
      <right style="thin">
        <color rgb="000B2A5B"/>
      </right>
    </border>
    <border>
      <left style="thin">
        <color rgb="000B2A5B"/>
      </lef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bottom style="thin">
        <color rgb="000B2A5B"/>
      </bottom>
    </border>
    <border>
      <left style="thin">
        <color rgb="00D3DEEC"/>
      </lef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top style="thin">
        <color rgb="000B2A5B"/>
      </top>
    </border>
    <border>
      <right style="thin">
        <color rgb="000B2A5B"/>
      </right>
      <top style="thin">
        <color rgb="000B2A5B"/>
      </top>
    </border>
    <border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 style="thin">
        <color rgb="00FFFFFF"/>
      </left>
      <top style="thin">
        <color rgb="00D3DEEC"/>
      </top>
    </border>
    <border>
      <left style="thin">
        <color rgb="00FFFFFF"/>
      </left>
      <right style="thin">
        <color rgb="00D3DEEC"/>
      </right>
      <top style="thin">
        <color rgb="00D3DEEC"/>
      </top>
    </border>
    <border>
      <left style="thin">
        <color rgb="00FFFFFF"/>
      </left>
      <right style="thin">
        <color rgb="00D3DEEC"/>
      </right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8C9BB5"/>
      </left>
      <bottom style="thin">
        <color rgb="00D3DEEC"/>
      </bottom>
    </border>
    <border>
      <left style="thin">
        <color rgb="008C9BB5"/>
      </left>
      <bottom style="thin">
        <color rgb="000B2A5B"/>
      </bottom>
    </border>
    <border>
      <left/>
      <right style="thin">
        <color rgb="00D3DEEC"/>
      </right>
      <top style="thin">
        <color rgb="00D3DEEC"/>
      </top>
      <bottom/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23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25" fillId="0" borderId="0" applyAlignment="1" pivotButton="0" quotePrefix="0" xfId="0">
      <alignment horizontal="right" vertical="center"/>
    </xf>
    <xf numFmtId="0" fontId="0" fillId="0" borderId="50" pivotButton="0" quotePrefix="0" xfId="0"/>
    <xf numFmtId="0" fontId="24" fillId="0" borderId="50" applyAlignment="1" pivotButton="0" quotePrefix="0" xfId="0">
      <alignment horizontal="center" vertical="top"/>
    </xf>
    <xf numFmtId="0" fontId="24" fillId="0" borderId="50" applyAlignment="1" pivotButton="0" quotePrefix="0" xfId="0">
      <alignment horizontal="right" vertical="top"/>
    </xf>
    <xf numFmtId="0" fontId="26" fillId="4" borderId="0" applyAlignment="1" pivotButton="0" quotePrefix="0" xfId="0">
      <alignment vertical="center" indent="1"/>
    </xf>
    <xf numFmtId="0" fontId="0" fillId="4" borderId="0" pivotButton="0" quotePrefix="0" xfId="0"/>
    <xf numFmtId="0" fontId="0" fillId="6" borderId="51" applyAlignment="1" pivotButton="0" quotePrefix="0" xfId="0">
      <alignment vertical="center" indent="1"/>
    </xf>
    <xf numFmtId="0" fontId="0" fillId="6" borderId="53" pivotButton="0" quotePrefix="0" xfId="0"/>
    <xf numFmtId="0" fontId="0" fillId="6" borderId="55" applyAlignment="1" pivotButton="0" quotePrefix="0" xfId="0">
      <alignment vertical="center" indent="1"/>
    </xf>
    <xf numFmtId="0" fontId="9" fillId="6" borderId="52" applyAlignment="1" pivotButton="0" quotePrefix="0" xfId="0">
      <alignment vertical="top" wrapText="1" indent="1"/>
    </xf>
    <xf numFmtId="0" fontId="0" fillId="6" borderId="54" pivotButton="0" quotePrefix="0" xfId="0"/>
    <xf numFmtId="0" fontId="9" fillId="6" borderId="56" applyAlignment="1" pivotButton="0" quotePrefix="0" xfId="0">
      <alignment vertical="top" wrapText="1" indent="1"/>
    </xf>
    <xf numFmtId="0" fontId="0" fillId="4" borderId="0" applyAlignment="1" pivotButton="0" quotePrefix="0" xfId="0">
      <alignment vertical="center" indent="1"/>
    </xf>
    <xf numFmtId="0" fontId="21" fillId="6" borderId="12" applyAlignment="1" pivotButton="0" quotePrefix="0" xfId="0">
      <alignment vertical="center" indent="1"/>
    </xf>
    <xf numFmtId="0" fontId="0" fillId="6" borderId="12" pivotButton="0" quotePrefix="0" xfId="0"/>
    <xf numFmtId="49" fontId="27" fillId="2" borderId="12" applyAlignment="1" pivotButton="0" quotePrefix="0" xfId="0">
      <alignment horizontal="left" vertical="center" wrapText="1" indent="1"/>
    </xf>
    <xf numFmtId="0" fontId="0" fillId="2" borderId="10" pivotButton="0" quotePrefix="0" xfId="0"/>
    <xf numFmtId="0" fontId="28" fillId="2" borderId="11" applyAlignment="1" pivotButton="0" quotePrefix="0" xfId="0">
      <alignment vertical="center" indent="1"/>
    </xf>
    <xf numFmtId="0" fontId="0" fillId="2" borderId="12" pivotButton="0" quotePrefix="0" xfId="0"/>
    <xf numFmtId="0" fontId="29" fillId="2" borderId="11" applyAlignment="1" pivotButton="0" quotePrefix="0" xfId="0">
      <alignment vertical="center" indent="1"/>
    </xf>
    <xf numFmtId="49" fontId="27" fillId="3" borderId="12" applyAlignment="1" pivotButton="0" quotePrefix="0" xfId="0">
      <alignment horizontal="left" vertical="center" wrapText="1" indent="1"/>
    </xf>
    <xf numFmtId="0" fontId="0" fillId="3" borderId="10" pivotButton="0" quotePrefix="0" xfId="0"/>
    <xf numFmtId="0" fontId="26" fillId="7" borderId="57" applyAlignment="1" pivotButton="0" quotePrefix="0" xfId="0">
      <alignment horizontal="center" vertical="center"/>
    </xf>
    <xf numFmtId="0" fontId="30" fillId="0" borderId="5" applyAlignment="1" pivotButton="0" quotePrefix="0" xfId="0">
      <alignment vertical="center" wrapText="1" indent="1"/>
    </xf>
    <xf numFmtId="0" fontId="22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21" fillId="0" borderId="5" applyAlignment="1" pivotButton="0" quotePrefix="0" xfId="0">
      <alignment vertical="center" wrapText="1" indent="1"/>
    </xf>
    <xf numFmtId="0" fontId="21" fillId="0" borderId="5" applyAlignment="1" pivotButton="0" quotePrefix="0" xfId="0">
      <alignment vertical="center" indent="1"/>
    </xf>
    <xf numFmtId="0" fontId="21" fillId="2" borderId="12" applyAlignment="1" pivotButton="0" quotePrefix="0" xfId="0">
      <alignment vertical="center" indent="1"/>
    </xf>
    <xf numFmtId="0" fontId="21" fillId="3" borderId="12" applyAlignment="1" pivotButton="0" quotePrefix="0" xfId="0">
      <alignment vertical="center" indent="1"/>
    </xf>
    <xf numFmtId="0" fontId="0" fillId="3" borderId="12" pivotButton="0" quotePrefix="0" xfId="0"/>
    <xf numFmtId="0" fontId="0" fillId="8" borderId="58" pivotButton="0" quotePrefix="0" xfId="0"/>
    <xf numFmtId="0" fontId="31" fillId="8" borderId="58" applyAlignment="1" pivotButton="0" quotePrefix="0" xfId="0">
      <alignment vertical="bottom" indent="1"/>
    </xf>
    <xf numFmtId="0" fontId="32" fillId="8" borderId="58" applyAlignment="1" pivotButton="0" quotePrefix="0" xfId="0">
      <alignment horizontal="right" vertical="bottom" indent="1"/>
    </xf>
    <xf numFmtId="0" fontId="0" fillId="8" borderId="0" pivotButton="0" quotePrefix="0" xfId="0"/>
    <xf numFmtId="0" fontId="33" fillId="8" borderId="0" applyAlignment="1" pivotButton="0" quotePrefix="0" xfId="0">
      <alignment vertical="top" wrapText="1" indent="1"/>
    </xf>
    <xf numFmtId="0" fontId="0" fillId="2" borderId="18" pivotButton="0" quotePrefix="0" xfId="0"/>
    <xf numFmtId="0" fontId="0" fillId="2" borderId="29" pivotButton="0" quotePrefix="0" xfId="0"/>
    <xf numFmtId="0" fontId="0" fillId="2" borderId="30" pivotButton="0" quotePrefix="0" xfId="0"/>
    <xf numFmtId="0" fontId="14" fillId="2" borderId="18" applyAlignment="1" pivotButton="0" quotePrefix="0" xfId="0">
      <alignment horizontal="center" vertical="center"/>
    </xf>
    <xf numFmtId="0" fontId="16" fillId="2" borderId="18" applyAlignment="1" pivotButton="0" quotePrefix="0" xfId="0">
      <alignment horizontal="center" vertical="center" shrinkToFit="1"/>
    </xf>
    <xf numFmtId="0" fontId="0" fillId="2" borderId="26" pivotButton="0" quotePrefix="0" xfId="0"/>
    <xf numFmtId="0" fontId="0" fillId="2" borderId="31" pivotButton="0" quotePrefix="0" xfId="0"/>
    <xf numFmtId="0" fontId="0" fillId="2" borderId="32" pivotButton="0" quotePrefix="0" xfId="0"/>
    <xf numFmtId="0" fontId="15" fillId="2" borderId="2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4" fillId="2" borderId="9" applyAlignment="1" pivotButton="0" quotePrefix="0" xfId="0">
      <alignment horizontal="center" vertical="center" wrapText="1"/>
    </xf>
    <xf numFmtId="0" fontId="0" fillId="2" borderId="11" pivotButton="0" quotePrefix="0" xfId="0"/>
    <xf numFmtId="0" fontId="3" fillId="3" borderId="9" applyAlignment="1" pivotButton="0" quotePrefix="0" xfId="0">
      <alignment horizontal="center" vertical="center" wrapText="1"/>
    </xf>
    <xf numFmtId="0" fontId="0" fillId="3" borderId="11" pivotButton="0" quotePrefix="0" xfId="0"/>
    <xf numFmtId="0" fontId="4" fillId="3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9" fontId="3" fillId="3" borderId="12" applyAlignment="1" pivotButton="0" quotePrefix="0" xfId="0">
      <alignment horizontal="center" vertical="center" wrapText="1"/>
    </xf>
    <xf numFmtId="0" fontId="0" fillId="2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shrinkToFit="1"/>
    </xf>
    <xf numFmtId="0" fontId="7" fillId="5" borderId="34" applyAlignment="1" pivotButton="0" quotePrefix="0" xfId="0">
      <alignment horizontal="center" vertical="center" wrapText="1"/>
    </xf>
    <xf numFmtId="0" fontId="7" fillId="5" borderId="35" applyAlignment="1" pivotButton="0" quotePrefix="0" xfId="0">
      <alignment horizontal="center" vertical="center" wrapText="1"/>
    </xf>
    <xf numFmtId="0" fontId="0" fillId="4" borderId="13" pivotButton="0" quotePrefix="0" xfId="0"/>
    <xf numFmtId="0" fontId="0" fillId="4" borderId="22" pivotButton="0" quotePrefix="0" xfId="0"/>
    <xf numFmtId="0" fontId="0" fillId="0" borderId="22" pivotButton="0" quotePrefix="0" xfId="0"/>
    <xf numFmtId="0" fontId="0" fillId="5" borderId="22" pivotButton="0" quotePrefix="0" xfId="0"/>
    <xf numFmtId="0" fontId="0" fillId="5" borderId="36" pivotButton="0" quotePrefix="0" xfId="0"/>
    <xf numFmtId="0" fontId="12" fillId="2" borderId="4" applyAlignment="1" pivotButton="0" quotePrefix="0" xfId="0">
      <alignment horizontal="center" vertical="center" shrinkToFit="1"/>
    </xf>
    <xf numFmtId="0" fontId="10" fillId="2" borderId="4" applyAlignment="1" pivotButton="0" quotePrefix="0" xfId="0">
      <alignment horizontal="center" vertical="center" shrinkToFit="1"/>
    </xf>
    <xf numFmtId="0" fontId="13" fillId="3" borderId="4" applyAlignment="1" pivotButton="0" quotePrefix="0" xfId="0">
      <alignment horizontal="left" vertical="center" wrapText="1" indent="1"/>
    </xf>
    <xf numFmtId="0" fontId="10" fillId="2" borderId="4" applyAlignment="1" pivotButton="0" quotePrefix="0" xfId="0">
      <alignment horizontal="left" vertical="center" wrapText="1" indent="1"/>
    </xf>
    <xf numFmtId="0" fontId="9" fillId="2" borderId="4" applyAlignment="1" pivotButton="0" quotePrefix="0" xfId="0">
      <alignment horizontal="center" vertical="center" shrinkToFit="1"/>
    </xf>
    <xf numFmtId="0" fontId="11" fillId="2" borderId="4" applyAlignment="1" pivotButton="0" quotePrefix="0" xfId="0">
      <alignment horizontal="center" vertical="center" shrinkToFit="1"/>
    </xf>
    <xf numFmtId="0" fontId="10" fillId="3" borderId="4" applyAlignment="1" pivotButton="0" quotePrefix="0" xfId="0">
      <alignment horizontal="center" vertical="center" shrinkToFit="1"/>
    </xf>
    <xf numFmtId="9" fontId="10" fillId="3" borderId="4" applyAlignment="1" pivotButton="0" quotePrefix="0" xfId="0">
      <alignment horizontal="center" vertical="center" shrinkToFit="1"/>
    </xf>
    <xf numFmtId="0" fontId="10" fillId="3" borderId="37" applyAlignment="1" pivotButton="0" quotePrefix="0" xfId="0">
      <alignment horizontal="center" vertical="center" shrinkToFit="1"/>
    </xf>
    <xf numFmtId="0" fontId="0" fillId="2" borderId="0" applyAlignment="1" pivotButton="0" quotePrefix="0" xfId="0">
      <alignment horizontal="left" vertical="center" indent="1"/>
    </xf>
    <xf numFmtId="0" fontId="0" fillId="0" borderId="42" applyAlignment="1" pivotButton="0" quotePrefix="0" xfId="0">
      <alignment horizontal="center" vertical="bottom"/>
    </xf>
    <xf numFmtId="9" fontId="3" fillId="3" borderId="9" applyAlignment="1" pivotButton="0" quotePrefix="0" xfId="0">
      <alignment horizontal="center" vertical="center" wrapText="1"/>
    </xf>
    <xf numFmtId="0" fontId="17" fillId="4" borderId="34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34" pivotButton="0" quotePrefix="0" xfId="0"/>
    <xf numFmtId="0" fontId="8" fillId="4" borderId="22" applyAlignment="1" pivotButton="0" quotePrefix="0" xfId="0">
      <alignment horizontal="center" vertical="center" shrinkToFit="1"/>
    </xf>
    <xf numFmtId="0" fontId="8" fillId="4" borderId="14" applyAlignment="1" pivotButton="0" quotePrefix="0" xfId="0">
      <alignment horizontal="center" vertical="center" shrinkToFit="1"/>
    </xf>
    <xf numFmtId="0" fontId="11" fillId="2" borderId="40" applyAlignment="1" pivotButton="0" quotePrefix="0" xfId="0">
      <alignment horizontal="center" vertical="center" shrinkToFit="1"/>
    </xf>
    <xf numFmtId="0" fontId="10" fillId="3" borderId="40" applyAlignment="1" pivotButton="0" quotePrefix="0" xfId="0">
      <alignment horizontal="center" vertical="center" shrinkToFit="1"/>
    </xf>
    <xf numFmtId="0" fontId="18" fillId="4" borderId="22" applyAlignment="1" pivotButton="0" quotePrefix="0" xfId="0">
      <alignment horizontal="center" vertical="center" shrinkToFit="1"/>
    </xf>
    <xf numFmtId="0" fontId="18" fillId="4" borderId="14" applyAlignment="1" pivotButton="0" quotePrefix="0" xfId="0">
      <alignment horizontal="center" vertical="center" shrinkToFit="1"/>
    </xf>
    <xf numFmtId="0" fontId="19" fillId="4" borderId="24" applyAlignment="1" pivotButton="0" quotePrefix="0" xfId="0">
      <alignment horizontal="center" vertical="center" wrapText="1"/>
    </xf>
    <xf numFmtId="0" fontId="19" fillId="4" borderId="5" applyAlignment="1" pivotButton="0" quotePrefix="0" xfId="0">
      <alignment horizontal="center" vertical="center" wrapText="1"/>
    </xf>
    <xf numFmtId="0" fontId="19" fillId="4" borderId="43" applyAlignment="1" pivotButton="0" quotePrefix="0" xfId="0">
      <alignment horizontal="center" vertical="center" wrapText="1"/>
    </xf>
    <xf numFmtId="0" fontId="19" fillId="4" borderId="47" applyAlignment="1" pivotButton="0" quotePrefix="0" xfId="0">
      <alignment horizontal="center" vertical="center" wrapText="1"/>
    </xf>
    <xf numFmtId="0" fontId="20" fillId="0" borderId="0" pivotButton="0" quotePrefix="0" xfId="0"/>
    <xf numFmtId="49" fontId="21" fillId="2" borderId="44" applyAlignment="1" pivotButton="0" quotePrefix="0" xfId="0">
      <alignment horizontal="left" vertical="center" indent="1"/>
    </xf>
    <xf numFmtId="0" fontId="22" fillId="2" borderId="37" applyAlignment="1" pivotButton="0" quotePrefix="0" xfId="0">
      <alignment horizontal="left" vertical="center" indent="1"/>
    </xf>
    <xf numFmtId="0" fontId="22" fillId="2" borderId="25" applyAlignment="1" pivotButton="0" quotePrefix="0" xfId="0">
      <alignment horizontal="left" vertical="center" indent="1"/>
    </xf>
    <xf numFmtId="0" fontId="21" fillId="2" borderId="47" applyAlignment="1" pivotButton="0" quotePrefix="0" xfId="0">
      <alignment horizontal="left" vertical="center" indent="1"/>
    </xf>
    <xf numFmtId="49" fontId="21" fillId="2" borderId="45" applyAlignment="1" pivotButton="0" quotePrefix="0" xfId="0">
      <alignment horizontal="left" vertical="center" indent="1"/>
    </xf>
    <xf numFmtId="0" fontId="22" fillId="2" borderId="46" applyAlignment="1" pivotButton="0" quotePrefix="0" xfId="0">
      <alignment horizontal="left" vertical="center" indent="1"/>
    </xf>
    <xf numFmtId="0" fontId="22" fillId="2" borderId="28" applyAlignment="1" pivotButton="0" quotePrefix="0" xfId="0">
      <alignment horizontal="left" vertical="center" indent="1"/>
    </xf>
    <xf numFmtId="0" fontId="21" fillId="2" borderId="48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14" fillId="2" borderId="49" applyAlignment="1" pivotButton="0" quotePrefix="0" xfId="0">
      <alignment horizontal="center" vertical="center"/>
    </xf>
    <xf numFmtId="0" fontId="15" fillId="2" borderId="48" applyAlignment="1" pivotButton="0" quotePrefix="0" xfId="0">
      <alignment horizontal="center" vertical="center" wrapText="1"/>
    </xf>
    <xf numFmtId="49" fontId="21" fillId="2" borderId="44" applyAlignment="1" pivotButton="0" quotePrefix="0" xfId="0">
      <alignment horizontal="center" vertical="center"/>
    </xf>
    <xf numFmtId="164" fontId="22" fillId="2" borderId="37" applyAlignment="1" pivotButton="0" quotePrefix="0" xfId="0">
      <alignment horizontal="center" vertical="center"/>
    </xf>
    <xf numFmtId="0" fontId="22" fillId="2" borderId="37" applyAlignment="1" pivotButton="0" quotePrefix="0" xfId="0">
      <alignment horizontal="left" vertical="center" wrapText="1" indent="1"/>
    </xf>
    <xf numFmtId="49" fontId="21" fillId="2" borderId="45" applyAlignment="1" pivotButton="0" quotePrefix="0" xfId="0">
      <alignment horizontal="center" vertical="center"/>
    </xf>
    <xf numFmtId="164" fontId="22" fillId="2" borderId="46" applyAlignment="1" pivotButton="0" quotePrefix="0" xfId="0">
      <alignment horizontal="center" vertical="center"/>
    </xf>
    <xf numFmtId="0" fontId="22" fillId="2" borderId="46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7">
    <dxf>
      <font>
        <b val="1"/>
        <color rgb="000B2A5B"/>
      </font>
      <fill>
        <patternFill patternType="solid">
          <fgColor rgb="00DCE6F4"/>
          <bgColor rgb="00DCE6F4"/>
        </patternFill>
      </fill>
    </dxf>
    <dxf>
      <font>
        <b val="1"/>
        <color rgb="001E7A46"/>
      </font>
      <fill>
        <patternFill patternType="solid">
          <fgColor rgb="00DDF1E3"/>
          <bgColor rgb="00DDF1E3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1F5AA6"/>
      </font>
      <fill>
        <patternFill patternType="solid">
          <fgColor rgb="00E1ECF6"/>
          <bgColor rgb="00E1ECF6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color rgb="005E7090"/>
      </font>
    </dxf>
    <dxf>
      <fill>
        <patternFill patternType="solid">
          <fgColor rgb="00F1F3F6"/>
          <bgColor rgb="00F1F3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31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</colOff>
      <row>0</row>
      <rowOff>47625</rowOff>
    </from>
    <ext cx="2114550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76200</colOff>
      <row>0</row>
      <rowOff>47625</rowOff>
    </from>
    <ext cx="2114550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47625</rowOff>
    </from>
    <ext cx="2114550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2.xml><?xml version="1.0" encoding="utf-8"?>
<table xmlns="http://schemas.openxmlformats.org/spreadsheetml/2006/main" id="2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3.xml><?xml version="1.0" encoding="utf-8"?>
<table xmlns="http://schemas.openxmlformats.org/spreadsheetml/2006/main" id="3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F33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PCM-MAN-003  ·  Planner de manutenção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Planner semanal.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Planner de manutenção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Programar as atividades por TAG e acompanhar a execução na semana, no mês e no ano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PCM-MAN-003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34" customHeight="1">
      <c r="B20" s="26" t="n">
        <v>2</v>
      </c>
      <c r="C20" s="27" t="inlineStr">
        <is>
          <t>Planner semanal</t>
        </is>
      </c>
      <c r="D20" s="28" t="inlineStr">
        <is>
          <t>Programação da semana: escolha o ano e a semana nas setas do topo. Uma linha por atividade: TAG (o equipamento aparece sozinho), atividade e responsável.</t>
        </is>
      </c>
      <c r="E20" s="29" t="n"/>
      <c r="F20" s="29" t="n"/>
    </row>
    <row r="21" ht="22" customHeight="1">
      <c r="B21" s="26" t="n">
        <v>3</v>
      </c>
      <c r="C21" s="27" t="inlineStr">
        <is>
          <t>Planner mensal</t>
        </is>
      </c>
      <c r="D21" s="28" t="inlineStr">
        <is>
          <t>Programação do mês: escolha o ano e o mês. Os dias que o mês não tem ficam apagados.</t>
        </is>
      </c>
      <c r="E21" s="29" t="n"/>
      <c r="F21" s="29" t="n"/>
    </row>
    <row r="22" ht="22" customHeight="1">
      <c r="B22" s="26" t="n">
        <v>4</v>
      </c>
      <c r="C22" s="27" t="inlineStr">
        <is>
          <t>Planner anual</t>
        </is>
      </c>
      <c r="D22" s="28" t="inlineStr">
        <is>
          <t>Programação do ano por semana do mês: paradas, preventivas grandes e serviços de terceiros.</t>
        </is>
      </c>
      <c r="E22" s="29" t="n"/>
      <c r="F22" s="29" t="n"/>
    </row>
    <row r="23" ht="34" customHeight="1">
      <c r="B23" s="26" t="n">
        <v>5</v>
      </c>
      <c r="C23" s="30" t="inlineStr">
        <is>
          <t>Marcações</t>
        </is>
      </c>
      <c r="D23" s="28" t="inlineStr">
        <is>
          <t>Em cada dia ou semana escolha na seta: ● planejado, ✔ realizado, R reprogramado. Plan., Real., % e Situação saem sozinhos.</t>
        </is>
      </c>
      <c r="E23" s="29" t="n"/>
      <c r="F23" s="29" t="n"/>
    </row>
    <row r="24" ht="10" customHeight="1"/>
    <row r="25" ht="24" customHeight="1">
      <c r="B25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5" s="9" t="n"/>
      <c r="D25" s="9" t="n"/>
      <c r="E25" s="9" t="n"/>
      <c r="F25" s="9" t="n"/>
    </row>
    <row r="26" ht="21" customHeight="1">
      <c r="B26" s="31" t="inlineStr">
        <is>
          <t>▼  Lista</t>
        </is>
      </c>
      <c r="C26" s="29" t="n"/>
      <c r="D26" s="28" t="inlineStr">
        <is>
          <t>Clique na célula e escolha na seta. Valor fora da lista é recusado.</t>
        </is>
      </c>
      <c r="E26" s="29" t="n"/>
      <c r="F26" s="29" t="n"/>
    </row>
    <row r="27" ht="21" customHeight="1">
      <c r="B27" s="32" t="inlineStr">
        <is>
          <t>Célula branca</t>
        </is>
      </c>
      <c r="C27" s="22" t="n"/>
      <c r="D27" s="28" t="inlineStr">
        <is>
          <t>Campo para digitar.</t>
        </is>
      </c>
      <c r="E27" s="29" t="n"/>
      <c r="F27" s="29" t="n"/>
    </row>
    <row r="28" ht="21" customHeight="1">
      <c r="B28" s="33" t="inlineStr">
        <is>
          <t>Célula cinza</t>
        </is>
      </c>
      <c r="C28" s="34" t="n"/>
      <c r="D28" s="28" t="inlineStr">
        <is>
          <t>Cálculo automático. Não digite: a fórmula preenche sozinha.</t>
        </is>
      </c>
      <c r="E28" s="29" t="n"/>
      <c r="F28" s="29" t="n"/>
    </row>
    <row r="29" ht="21" customHeight="1">
      <c r="B29" s="31" t="inlineStr">
        <is>
          <t>Datas e números</t>
        </is>
      </c>
      <c r="C29" s="29" t="n"/>
      <c r="D29" s="28" t="inlineStr">
        <is>
          <t>Datas em dd/mm/aaaa; decimais com vírgula. Vazio = sem informação; zero é valor real.</t>
        </is>
      </c>
      <c r="E29" s="29" t="n"/>
      <c r="F29" s="29" t="n"/>
    </row>
    <row r="30" ht="21" customHeight="1">
      <c r="B30" s="31" t="inlineStr">
        <is>
          <t>Impressão</t>
        </is>
      </c>
      <c r="C30" s="29" t="n"/>
      <c r="D30" s="28" t="inlineStr">
        <is>
          <t>Cada aba já está ajustada para uma folha A4. Use Arquivo &gt; Imprimir sem mudar a escala.</t>
        </is>
      </c>
      <c r="E30" s="29" t="n"/>
      <c r="F30" s="29" t="n"/>
    </row>
    <row r="31" ht="12" customHeight="1"/>
    <row r="32" ht="22" customHeight="1">
      <c r="B32" s="35" t="n"/>
      <c r="C32" s="35" t="n"/>
      <c r="D32" s="36" t="inlineStr">
        <is>
          <t>SOBRE O PCM DIRETO</t>
        </is>
      </c>
      <c r="E32" s="35" t="n"/>
      <c r="F32" s="37" t="inlineStr">
        <is>
          <t>pcmdireto.me</t>
        </is>
      </c>
    </row>
    <row r="33" ht="34" customHeight="1">
      <c r="B33" s="38" t="n"/>
      <c r="C33" s="38" t="n"/>
      <c r="D33" s="39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3" s="38" t="n"/>
      <c r="F33" s="38" t="n"/>
    </row>
  </sheetData>
  <mergeCells count="42">
    <mergeCell ref="D11:F11"/>
    <mergeCell ref="B16:C16"/>
    <mergeCell ref="D10:E10"/>
    <mergeCell ref="B7:C7"/>
    <mergeCell ref="D27:F27"/>
    <mergeCell ref="D1:E1"/>
    <mergeCell ref="B25:F25"/>
    <mergeCell ref="B27:C27"/>
    <mergeCell ref="B18:F18"/>
    <mergeCell ref="B12:C12"/>
    <mergeCell ref="D28:F28"/>
    <mergeCell ref="D2:E2"/>
    <mergeCell ref="B11:C11"/>
    <mergeCell ref="D13:E13"/>
    <mergeCell ref="D12:F12"/>
    <mergeCell ref="B14:C14"/>
    <mergeCell ref="D32:E32"/>
    <mergeCell ref="B32:C33"/>
    <mergeCell ref="D30:F30"/>
    <mergeCell ref="D33:F33"/>
    <mergeCell ref="B1:C3"/>
    <mergeCell ref="B13:C13"/>
    <mergeCell ref="D16:E16"/>
    <mergeCell ref="D29:F29"/>
    <mergeCell ref="B29:C29"/>
    <mergeCell ref="D23:F23"/>
    <mergeCell ref="B10:C10"/>
    <mergeCell ref="B28:C28"/>
    <mergeCell ref="D26:F26"/>
    <mergeCell ref="D3:E3"/>
    <mergeCell ref="D20:F20"/>
    <mergeCell ref="B9:F9"/>
    <mergeCell ref="B6:C6"/>
    <mergeCell ref="D19:F19"/>
    <mergeCell ref="B30:C30"/>
    <mergeCell ref="B15:C15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Planner semanal'!A1" display="Planner semanal"/>
    <hyperlink ref="C21" location="'Planner mensal'!A1" display="Planner mensal"/>
    <hyperlink ref="C22" location="'Planner anual'!A1" display="Planner anual"/>
    <hyperlink xmlns:r="http://schemas.openxmlformats.org/officeDocument/2006/relationships" ref="F32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P40"/>
  <sheetViews>
    <sheetView showGridLines="0" tabSelected="0" zoomScale="9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30" customWidth="1" min="4" max="4"/>
    <col width="14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17.2" customWidth="1" min="16" max="16"/>
  </cols>
  <sheetData>
    <row r="1" ht="30.75" customHeight="1">
      <c r="A1" s="40" t="n"/>
      <c r="B1" s="41" t="n"/>
      <c r="C1" s="42" t="n"/>
      <c r="D1" s="43">
        <f>'Leia-me'!$D$10</f>
        <v/>
      </c>
      <c r="E1" s="41" t="n"/>
      <c r="F1" s="41" t="n"/>
      <c r="G1" s="41" t="n"/>
      <c r="H1" s="41" t="n"/>
      <c r="I1" s="41" t="n"/>
      <c r="J1" s="41" t="n"/>
      <c r="K1" s="41" t="n"/>
      <c r="L1" s="41" t="n"/>
      <c r="M1" s="42" t="n"/>
      <c r="N1" s="44">
        <f>"Rev. "&amp;'Leia-me'!$D$15&amp;"   ·   "&amp;'Leia-me'!$D$16</f>
        <v/>
      </c>
      <c r="O1" s="41" t="n"/>
      <c r="P1" s="42" t="n"/>
    </row>
    <row r="2" ht="28" customHeight="1">
      <c r="A2" s="45" t="n"/>
      <c r="B2" s="46" t="n"/>
      <c r="C2" s="47" t="n"/>
      <c r="D2" s="48">
        <f>"Objetivo: "&amp;'Leia-me'!$D$11</f>
        <v/>
      </c>
      <c r="E2" s="46" t="n"/>
      <c r="F2" s="46" t="n"/>
      <c r="G2" s="46" t="n"/>
      <c r="H2" s="46" t="n"/>
      <c r="I2" s="46" t="n"/>
      <c r="J2" s="46" t="n"/>
      <c r="K2" s="46" t="n"/>
      <c r="L2" s="46" t="n"/>
      <c r="M2" s="47" t="n"/>
      <c r="N2" s="48">
        <f>"Elaborado: "&amp;'Leia-me'!$D$13&amp;"   ·   Aprovado: "&amp;'Leia-me'!$D$14</f>
        <v/>
      </c>
      <c r="O2" s="46" t="n"/>
      <c r="P2" s="47" t="n"/>
    </row>
    <row r="3" ht="14" customHeight="1">
      <c r="A3" s="49" t="inlineStr">
        <is>
          <t>Ano ▼</t>
        </is>
      </c>
      <c r="B3" s="50" t="n"/>
      <c r="C3" s="50" t="n"/>
      <c r="D3" s="51" t="inlineStr">
        <is>
          <t>Semana ▼</t>
        </is>
      </c>
      <c r="E3" s="50" t="n"/>
      <c r="F3" s="51" t="inlineStr">
        <is>
          <t>Atividades</t>
        </is>
      </c>
      <c r="G3" s="50" t="n"/>
      <c r="H3" s="51" t="inlineStr">
        <is>
          <t>Marcações</t>
        </is>
      </c>
      <c r="I3" s="50" t="n"/>
      <c r="J3" s="51" t="inlineStr">
        <is>
          <t>Realizadas</t>
        </is>
      </c>
      <c r="K3" s="50" t="n"/>
      <c r="L3" s="51" t="inlineStr">
        <is>
          <t>Reprogramadas</t>
        </is>
      </c>
      <c r="M3" s="50" t="n"/>
      <c r="N3" s="51" t="inlineStr">
        <is>
          <t>Concluídas</t>
        </is>
      </c>
      <c r="O3" s="50" t="n"/>
      <c r="P3" s="52" t="inlineStr">
        <is>
          <t>% realizado</t>
        </is>
      </c>
    </row>
    <row r="4" ht="24" customHeight="1">
      <c r="A4" s="53" t="n"/>
      <c r="B4" s="20" t="n"/>
      <c r="C4" s="54" t="n"/>
      <c r="D4" s="53" t="n"/>
      <c r="E4" s="54" t="n"/>
      <c r="F4" s="55">
        <f>COUNTIF(D10:D39,"?*")</f>
        <v/>
      </c>
      <c r="G4" s="56" t="n"/>
      <c r="H4" s="57">
        <f>SUM(M10:M39)</f>
        <v/>
      </c>
      <c r="I4" s="56" t="n"/>
      <c r="J4" s="58">
        <f>SUM(N10:N39)</f>
        <v/>
      </c>
      <c r="K4" s="56" t="n"/>
      <c r="L4" s="59">
        <f>COUNTIF(F10:L39,"R")</f>
        <v/>
      </c>
      <c r="M4" s="56" t="n"/>
      <c r="N4" s="58">
        <f>COUNTIF(P10:P39,"Concluída")</f>
        <v/>
      </c>
      <c r="O4" s="56" t="n"/>
      <c r="P4" s="60">
        <f>IF(N(H4)=0,"",J4/H4)</f>
        <v/>
      </c>
    </row>
    <row r="5" ht="8" customHeight="1">
      <c r="A5" s="61" t="n"/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</row>
    <row r="6" ht="4" customHeight="1">
      <c r="A6" s="61" t="n"/>
      <c r="B6" s="61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</row>
    <row r="7" ht="4" customHeight="1">
      <c r="A7" s="61" t="n"/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</row>
    <row r="8" ht="17" customHeight="1">
      <c r="A8" s="62" t="inlineStr">
        <is>
          <t>Nº</t>
        </is>
      </c>
      <c r="B8" s="63" t="inlineStr">
        <is>
          <t>TAG ▼</t>
        </is>
      </c>
      <c r="C8" s="63" t="inlineStr">
        <is>
          <t>Equipamento</t>
        </is>
      </c>
      <c r="D8" s="63" t="inlineStr">
        <is>
          <t>Atividade</t>
        </is>
      </c>
      <c r="E8" s="63" t="inlineStr">
        <is>
          <t>Responsável ▼</t>
        </is>
      </c>
      <c r="F8" s="64" t="inlineStr">
        <is>
          <t>SEG</t>
        </is>
      </c>
      <c r="G8" s="64" t="inlineStr">
        <is>
          <t>TER</t>
        </is>
      </c>
      <c r="H8" s="64" t="inlineStr">
        <is>
          <t>QUA</t>
        </is>
      </c>
      <c r="I8" s="64" t="inlineStr">
        <is>
          <t>QUI</t>
        </is>
      </c>
      <c r="J8" s="64" t="inlineStr">
        <is>
          <t>SEX</t>
        </is>
      </c>
      <c r="K8" s="64" t="inlineStr">
        <is>
          <t>SÁB</t>
        </is>
      </c>
      <c r="L8" s="64" t="inlineStr">
        <is>
          <t>DOM</t>
        </is>
      </c>
      <c r="M8" s="65" t="inlineStr">
        <is>
          <t>Plan.</t>
        </is>
      </c>
      <c r="N8" s="65" t="inlineStr">
        <is>
          <t>Real.</t>
        </is>
      </c>
      <c r="O8" s="65" t="inlineStr">
        <is>
          <t>%</t>
        </is>
      </c>
      <c r="P8" s="66" t="inlineStr">
        <is>
          <t>Situação</t>
        </is>
      </c>
    </row>
    <row r="9" ht="16" customHeight="1">
      <c r="A9" s="67" t="n"/>
      <c r="B9" s="68" t="n"/>
      <c r="C9" s="68" t="n"/>
      <c r="D9" s="68" t="n"/>
      <c r="E9" s="68" t="n"/>
      <c r="F9" s="69" t="n"/>
      <c r="G9" s="69" t="n"/>
      <c r="H9" s="69" t="n"/>
      <c r="I9" s="69" t="n"/>
      <c r="J9" s="69" t="n"/>
      <c r="K9" s="69" t="n"/>
      <c r="L9" s="69" t="n"/>
      <c r="M9" s="70" t="n"/>
      <c r="N9" s="70" t="n"/>
      <c r="O9" s="70" t="n"/>
      <c r="P9" s="71" t="n"/>
    </row>
    <row r="10" ht="19" customHeight="1">
      <c r="A10" s="72" t="n">
        <v>1</v>
      </c>
      <c r="B10" s="73" t="n"/>
      <c r="C10" s="74">
        <f>IF(B10="","",IFERROR(INDEX(tb_pcm_ativos[descricao_ativo],MATCH(B10,tb_pcm_ativos[tag],0)),"fora do cadastro"))</f>
        <v/>
      </c>
      <c r="D10" s="75" t="n"/>
      <c r="E10" s="76" t="n"/>
      <c r="F10" s="77" t="n"/>
      <c r="G10" s="77" t="n"/>
      <c r="H10" s="77" t="n"/>
      <c r="I10" s="77" t="n"/>
      <c r="J10" s="77" t="n"/>
      <c r="K10" s="77" t="n"/>
      <c r="L10" s="77" t="n"/>
      <c r="M10" s="78">
        <f>IF(COUNTA($F10:$L10)=0,"",COUNTIF($F10:$L10,"●")+COUNTIF($F10:$L10,"✔")+COUNTIF($F10:$L10,"R"))</f>
        <v/>
      </c>
      <c r="N10" s="78">
        <f>IF(M10="","",COUNTIF($F10:$L10,"✔"))</f>
        <v/>
      </c>
      <c r="O10" s="79">
        <f>IF(N(M10)=0,"",N10/M10)</f>
        <v/>
      </c>
      <c r="P10" s="80">
        <f>IF(N(M10)=0,"",IF(N10=M10,"Concluída",IF(COUNTIF($F10:$L10,"R")&gt;0,"Reprogramada",IF(N10&gt;0,"Em andamento","Planejada"))))</f>
        <v/>
      </c>
    </row>
    <row r="11" ht="19" customHeight="1">
      <c r="A11" s="72" t="n">
        <v>2</v>
      </c>
      <c r="B11" s="73" t="n"/>
      <c r="C11" s="74">
        <f>IF(B11="","",IFERROR(INDEX(tb_pcm_ativos[descricao_ativo],MATCH(B11,tb_pcm_ativos[tag],0)),"fora do cadastro"))</f>
        <v/>
      </c>
      <c r="D11" s="75" t="n"/>
      <c r="E11" s="76" t="n"/>
      <c r="F11" s="77" t="n"/>
      <c r="G11" s="77" t="n"/>
      <c r="H11" s="77" t="n"/>
      <c r="I11" s="77" t="n"/>
      <c r="J11" s="77" t="n"/>
      <c r="K11" s="77" t="n"/>
      <c r="L11" s="77" t="n"/>
      <c r="M11" s="78">
        <f>IF(COUNTA($F11:$L11)=0,"",COUNTIF($F11:$L11,"●")+COUNTIF($F11:$L11,"✔")+COUNTIF($F11:$L11,"R"))</f>
        <v/>
      </c>
      <c r="N11" s="78">
        <f>IF(M11="","",COUNTIF($F11:$L11,"✔"))</f>
        <v/>
      </c>
      <c r="O11" s="79">
        <f>IF(N(M11)=0,"",N11/M11)</f>
        <v/>
      </c>
      <c r="P11" s="80">
        <f>IF(N(M11)=0,"",IF(N11=M11,"Concluída",IF(COUNTIF($F11:$L11,"R")&gt;0,"Reprogramada",IF(N11&gt;0,"Em andamento","Planejada"))))</f>
        <v/>
      </c>
    </row>
    <row r="12" ht="19" customHeight="1">
      <c r="A12" s="72" t="n">
        <v>3</v>
      </c>
      <c r="B12" s="73" t="n"/>
      <c r="C12" s="74">
        <f>IF(B12="","",IFERROR(INDEX(tb_pcm_ativos[descricao_ativo],MATCH(B12,tb_pcm_ativos[tag],0)),"fora do cadastro"))</f>
        <v/>
      </c>
      <c r="D12" s="75" t="n"/>
      <c r="E12" s="76" t="n"/>
      <c r="F12" s="77" t="n"/>
      <c r="G12" s="77" t="n"/>
      <c r="H12" s="77" t="n"/>
      <c r="I12" s="77" t="n"/>
      <c r="J12" s="77" t="n"/>
      <c r="K12" s="77" t="n"/>
      <c r="L12" s="77" t="n"/>
      <c r="M12" s="78">
        <f>IF(COUNTA($F12:$L12)=0,"",COUNTIF($F12:$L12,"●")+COUNTIF($F12:$L12,"✔")+COUNTIF($F12:$L12,"R"))</f>
        <v/>
      </c>
      <c r="N12" s="78">
        <f>IF(M12="","",COUNTIF($F12:$L12,"✔"))</f>
        <v/>
      </c>
      <c r="O12" s="79">
        <f>IF(N(M12)=0,"",N12/M12)</f>
        <v/>
      </c>
      <c r="P12" s="80">
        <f>IF(N(M12)=0,"",IF(N12=M12,"Concluída",IF(COUNTIF($F12:$L12,"R")&gt;0,"Reprogramada",IF(N12&gt;0,"Em andamento","Planejada"))))</f>
        <v/>
      </c>
    </row>
    <row r="13" ht="19" customHeight="1">
      <c r="A13" s="72" t="n">
        <v>4</v>
      </c>
      <c r="B13" s="73" t="n"/>
      <c r="C13" s="74">
        <f>IF(B13="","",IFERROR(INDEX(tb_pcm_ativos[descricao_ativo],MATCH(B13,tb_pcm_ativos[tag],0)),"fora do cadastro"))</f>
        <v/>
      </c>
      <c r="D13" s="75" t="n"/>
      <c r="E13" s="76" t="n"/>
      <c r="F13" s="77" t="n"/>
      <c r="G13" s="77" t="n"/>
      <c r="H13" s="77" t="n"/>
      <c r="I13" s="77" t="n"/>
      <c r="J13" s="77" t="n"/>
      <c r="K13" s="77" t="n"/>
      <c r="L13" s="77" t="n"/>
      <c r="M13" s="78">
        <f>IF(COUNTA($F13:$L13)=0,"",COUNTIF($F13:$L13,"●")+COUNTIF($F13:$L13,"✔")+COUNTIF($F13:$L13,"R"))</f>
        <v/>
      </c>
      <c r="N13" s="78">
        <f>IF(M13="","",COUNTIF($F13:$L13,"✔"))</f>
        <v/>
      </c>
      <c r="O13" s="79">
        <f>IF(N(M13)=0,"",N13/M13)</f>
        <v/>
      </c>
      <c r="P13" s="80">
        <f>IF(N(M13)=0,"",IF(N13=M13,"Concluída",IF(COUNTIF($F13:$L13,"R")&gt;0,"Reprogramada",IF(N13&gt;0,"Em andamento","Planejada"))))</f>
        <v/>
      </c>
    </row>
    <row r="14" ht="19" customHeight="1">
      <c r="A14" s="72" t="n">
        <v>5</v>
      </c>
      <c r="B14" s="73" t="n"/>
      <c r="C14" s="74">
        <f>IF(B14="","",IFERROR(INDEX(tb_pcm_ativos[descricao_ativo],MATCH(B14,tb_pcm_ativos[tag],0)),"fora do cadastro"))</f>
        <v/>
      </c>
      <c r="D14" s="75" t="n"/>
      <c r="E14" s="76" t="n"/>
      <c r="F14" s="77" t="n"/>
      <c r="G14" s="77" t="n"/>
      <c r="H14" s="77" t="n"/>
      <c r="I14" s="77" t="n"/>
      <c r="J14" s="77" t="n"/>
      <c r="K14" s="77" t="n"/>
      <c r="L14" s="77" t="n"/>
      <c r="M14" s="78">
        <f>IF(COUNTA($F14:$L14)=0,"",COUNTIF($F14:$L14,"●")+COUNTIF($F14:$L14,"✔")+COUNTIF($F14:$L14,"R"))</f>
        <v/>
      </c>
      <c r="N14" s="78">
        <f>IF(M14="","",COUNTIF($F14:$L14,"✔"))</f>
        <v/>
      </c>
      <c r="O14" s="79">
        <f>IF(N(M14)=0,"",N14/M14)</f>
        <v/>
      </c>
      <c r="P14" s="80">
        <f>IF(N(M14)=0,"",IF(N14=M14,"Concluída",IF(COUNTIF($F14:$L14,"R")&gt;0,"Reprogramada",IF(N14&gt;0,"Em andamento","Planejada"))))</f>
        <v/>
      </c>
    </row>
    <row r="15" ht="19" customHeight="1">
      <c r="A15" s="72" t="n">
        <v>6</v>
      </c>
      <c r="B15" s="73" t="n"/>
      <c r="C15" s="74">
        <f>IF(B15="","",IFERROR(INDEX(tb_pcm_ativos[descricao_ativo],MATCH(B15,tb_pcm_ativos[tag],0)),"fora do cadastro"))</f>
        <v/>
      </c>
      <c r="D15" s="75" t="n"/>
      <c r="E15" s="76" t="n"/>
      <c r="F15" s="77" t="n"/>
      <c r="G15" s="77" t="n"/>
      <c r="H15" s="77" t="n"/>
      <c r="I15" s="77" t="n"/>
      <c r="J15" s="77" t="n"/>
      <c r="K15" s="77" t="n"/>
      <c r="L15" s="77" t="n"/>
      <c r="M15" s="78">
        <f>IF(COUNTA($F15:$L15)=0,"",COUNTIF($F15:$L15,"●")+COUNTIF($F15:$L15,"✔")+COUNTIF($F15:$L15,"R"))</f>
        <v/>
      </c>
      <c r="N15" s="78">
        <f>IF(M15="","",COUNTIF($F15:$L15,"✔"))</f>
        <v/>
      </c>
      <c r="O15" s="79">
        <f>IF(N(M15)=0,"",N15/M15)</f>
        <v/>
      </c>
      <c r="P15" s="80">
        <f>IF(N(M15)=0,"",IF(N15=M15,"Concluída",IF(COUNTIF($F15:$L15,"R")&gt;0,"Reprogramada",IF(N15&gt;0,"Em andamento","Planejada"))))</f>
        <v/>
      </c>
    </row>
    <row r="16" ht="19" customHeight="1">
      <c r="A16" s="72" t="n">
        <v>7</v>
      </c>
      <c r="B16" s="73" t="n"/>
      <c r="C16" s="74">
        <f>IF(B16="","",IFERROR(INDEX(tb_pcm_ativos[descricao_ativo],MATCH(B16,tb_pcm_ativos[tag],0)),"fora do cadastro"))</f>
        <v/>
      </c>
      <c r="D16" s="75" t="n"/>
      <c r="E16" s="76" t="n"/>
      <c r="F16" s="77" t="n"/>
      <c r="G16" s="77" t="n"/>
      <c r="H16" s="77" t="n"/>
      <c r="I16" s="77" t="n"/>
      <c r="J16" s="77" t="n"/>
      <c r="K16" s="77" t="n"/>
      <c r="L16" s="77" t="n"/>
      <c r="M16" s="78">
        <f>IF(COUNTA($F16:$L16)=0,"",COUNTIF($F16:$L16,"●")+COUNTIF($F16:$L16,"✔")+COUNTIF($F16:$L16,"R"))</f>
        <v/>
      </c>
      <c r="N16" s="78">
        <f>IF(M16="","",COUNTIF($F16:$L16,"✔"))</f>
        <v/>
      </c>
      <c r="O16" s="79">
        <f>IF(N(M16)=0,"",N16/M16)</f>
        <v/>
      </c>
      <c r="P16" s="80">
        <f>IF(N(M16)=0,"",IF(N16=M16,"Concluída",IF(COUNTIF($F16:$L16,"R")&gt;0,"Reprogramada",IF(N16&gt;0,"Em andamento","Planejada"))))</f>
        <v/>
      </c>
    </row>
    <row r="17" ht="19" customHeight="1">
      <c r="A17" s="72" t="n">
        <v>8</v>
      </c>
      <c r="B17" s="73" t="n"/>
      <c r="C17" s="74">
        <f>IF(B17="","",IFERROR(INDEX(tb_pcm_ativos[descricao_ativo],MATCH(B17,tb_pcm_ativos[tag],0)),"fora do cadastro"))</f>
        <v/>
      </c>
      <c r="D17" s="75" t="n"/>
      <c r="E17" s="76" t="n"/>
      <c r="F17" s="77" t="n"/>
      <c r="G17" s="77" t="n"/>
      <c r="H17" s="77" t="n"/>
      <c r="I17" s="77" t="n"/>
      <c r="J17" s="77" t="n"/>
      <c r="K17" s="77" t="n"/>
      <c r="L17" s="77" t="n"/>
      <c r="M17" s="78">
        <f>IF(COUNTA($F17:$L17)=0,"",COUNTIF($F17:$L17,"●")+COUNTIF($F17:$L17,"✔")+COUNTIF($F17:$L17,"R"))</f>
        <v/>
      </c>
      <c r="N17" s="78">
        <f>IF(M17="","",COUNTIF($F17:$L17,"✔"))</f>
        <v/>
      </c>
      <c r="O17" s="79">
        <f>IF(N(M17)=0,"",N17/M17)</f>
        <v/>
      </c>
      <c r="P17" s="80">
        <f>IF(N(M17)=0,"",IF(N17=M17,"Concluída",IF(COUNTIF($F17:$L17,"R")&gt;0,"Reprogramada",IF(N17&gt;0,"Em andamento","Planejada"))))</f>
        <v/>
      </c>
    </row>
    <row r="18" ht="19" customHeight="1">
      <c r="A18" s="72" t="n">
        <v>9</v>
      </c>
      <c r="B18" s="73" t="n"/>
      <c r="C18" s="74">
        <f>IF(B18="","",IFERROR(INDEX(tb_pcm_ativos[descricao_ativo],MATCH(B18,tb_pcm_ativos[tag],0)),"fora do cadastro"))</f>
        <v/>
      </c>
      <c r="D18" s="75" t="n"/>
      <c r="E18" s="76" t="n"/>
      <c r="F18" s="77" t="n"/>
      <c r="G18" s="77" t="n"/>
      <c r="H18" s="77" t="n"/>
      <c r="I18" s="77" t="n"/>
      <c r="J18" s="77" t="n"/>
      <c r="K18" s="77" t="n"/>
      <c r="L18" s="77" t="n"/>
      <c r="M18" s="78">
        <f>IF(COUNTA($F18:$L18)=0,"",COUNTIF($F18:$L18,"●")+COUNTIF($F18:$L18,"✔")+COUNTIF($F18:$L18,"R"))</f>
        <v/>
      </c>
      <c r="N18" s="78">
        <f>IF(M18="","",COUNTIF($F18:$L18,"✔"))</f>
        <v/>
      </c>
      <c r="O18" s="79">
        <f>IF(N(M18)=0,"",N18/M18)</f>
        <v/>
      </c>
      <c r="P18" s="80">
        <f>IF(N(M18)=0,"",IF(N18=M18,"Concluída",IF(COUNTIF($F18:$L18,"R")&gt;0,"Reprogramada",IF(N18&gt;0,"Em andamento","Planejada"))))</f>
        <v/>
      </c>
    </row>
    <row r="19" ht="19" customHeight="1">
      <c r="A19" s="72" t="n">
        <v>10</v>
      </c>
      <c r="B19" s="73" t="n"/>
      <c r="C19" s="74">
        <f>IF(B19="","",IFERROR(INDEX(tb_pcm_ativos[descricao_ativo],MATCH(B19,tb_pcm_ativos[tag],0)),"fora do cadastro"))</f>
        <v/>
      </c>
      <c r="D19" s="75" t="n"/>
      <c r="E19" s="76" t="n"/>
      <c r="F19" s="77" t="n"/>
      <c r="G19" s="77" t="n"/>
      <c r="H19" s="77" t="n"/>
      <c r="I19" s="77" t="n"/>
      <c r="J19" s="77" t="n"/>
      <c r="K19" s="77" t="n"/>
      <c r="L19" s="77" t="n"/>
      <c r="M19" s="78">
        <f>IF(COUNTA($F19:$L19)=0,"",COUNTIF($F19:$L19,"●")+COUNTIF($F19:$L19,"✔")+COUNTIF($F19:$L19,"R"))</f>
        <v/>
      </c>
      <c r="N19" s="78">
        <f>IF(M19="","",COUNTIF($F19:$L19,"✔"))</f>
        <v/>
      </c>
      <c r="O19" s="79">
        <f>IF(N(M19)=0,"",N19/M19)</f>
        <v/>
      </c>
      <c r="P19" s="80">
        <f>IF(N(M19)=0,"",IF(N19=M19,"Concluída",IF(COUNTIF($F19:$L19,"R")&gt;0,"Reprogramada",IF(N19&gt;0,"Em andamento","Planejada"))))</f>
        <v/>
      </c>
    </row>
    <row r="20" ht="19" customHeight="1">
      <c r="A20" s="72" t="n">
        <v>11</v>
      </c>
      <c r="B20" s="73" t="n"/>
      <c r="C20" s="74">
        <f>IF(B20="","",IFERROR(INDEX(tb_pcm_ativos[descricao_ativo],MATCH(B20,tb_pcm_ativos[tag],0)),"fora do cadastro"))</f>
        <v/>
      </c>
      <c r="D20" s="75" t="n"/>
      <c r="E20" s="76" t="n"/>
      <c r="F20" s="77" t="n"/>
      <c r="G20" s="77" t="n"/>
      <c r="H20" s="77" t="n"/>
      <c r="I20" s="77" t="n"/>
      <c r="J20" s="77" t="n"/>
      <c r="K20" s="77" t="n"/>
      <c r="L20" s="77" t="n"/>
      <c r="M20" s="78">
        <f>IF(COUNTA($F20:$L20)=0,"",COUNTIF($F20:$L20,"●")+COUNTIF($F20:$L20,"✔")+COUNTIF($F20:$L20,"R"))</f>
        <v/>
      </c>
      <c r="N20" s="78">
        <f>IF(M20="","",COUNTIF($F20:$L20,"✔"))</f>
        <v/>
      </c>
      <c r="O20" s="79">
        <f>IF(N(M20)=0,"",N20/M20)</f>
        <v/>
      </c>
      <c r="P20" s="80">
        <f>IF(N(M20)=0,"",IF(N20=M20,"Concluída",IF(COUNTIF($F20:$L20,"R")&gt;0,"Reprogramada",IF(N20&gt;0,"Em andamento","Planejada"))))</f>
        <v/>
      </c>
    </row>
    <row r="21" ht="19" customHeight="1">
      <c r="A21" s="72" t="n">
        <v>12</v>
      </c>
      <c r="B21" s="73" t="n"/>
      <c r="C21" s="74">
        <f>IF(B21="","",IFERROR(INDEX(tb_pcm_ativos[descricao_ativo],MATCH(B21,tb_pcm_ativos[tag],0)),"fora do cadastro"))</f>
        <v/>
      </c>
      <c r="D21" s="75" t="n"/>
      <c r="E21" s="76" t="n"/>
      <c r="F21" s="77" t="n"/>
      <c r="G21" s="77" t="n"/>
      <c r="H21" s="77" t="n"/>
      <c r="I21" s="77" t="n"/>
      <c r="J21" s="77" t="n"/>
      <c r="K21" s="77" t="n"/>
      <c r="L21" s="77" t="n"/>
      <c r="M21" s="78">
        <f>IF(COUNTA($F21:$L21)=0,"",COUNTIF($F21:$L21,"●")+COUNTIF($F21:$L21,"✔")+COUNTIF($F21:$L21,"R"))</f>
        <v/>
      </c>
      <c r="N21" s="78">
        <f>IF(M21="","",COUNTIF($F21:$L21,"✔"))</f>
        <v/>
      </c>
      <c r="O21" s="79">
        <f>IF(N(M21)=0,"",N21/M21)</f>
        <v/>
      </c>
      <c r="P21" s="80">
        <f>IF(N(M21)=0,"",IF(N21=M21,"Concluída",IF(COUNTIF($F21:$L21,"R")&gt;0,"Reprogramada",IF(N21&gt;0,"Em andamento","Planejada"))))</f>
        <v/>
      </c>
    </row>
    <row r="22" ht="19" customHeight="1">
      <c r="A22" s="72" t="n">
        <v>13</v>
      </c>
      <c r="B22" s="73" t="n"/>
      <c r="C22" s="74">
        <f>IF(B22="","",IFERROR(INDEX(tb_pcm_ativos[descricao_ativo],MATCH(B22,tb_pcm_ativos[tag],0)),"fora do cadastro"))</f>
        <v/>
      </c>
      <c r="D22" s="75" t="n"/>
      <c r="E22" s="76" t="n"/>
      <c r="F22" s="77" t="n"/>
      <c r="G22" s="77" t="n"/>
      <c r="H22" s="77" t="n"/>
      <c r="I22" s="77" t="n"/>
      <c r="J22" s="77" t="n"/>
      <c r="K22" s="77" t="n"/>
      <c r="L22" s="77" t="n"/>
      <c r="M22" s="78">
        <f>IF(COUNTA($F22:$L22)=0,"",COUNTIF($F22:$L22,"●")+COUNTIF($F22:$L22,"✔")+COUNTIF($F22:$L22,"R"))</f>
        <v/>
      </c>
      <c r="N22" s="78">
        <f>IF(M22="","",COUNTIF($F22:$L22,"✔"))</f>
        <v/>
      </c>
      <c r="O22" s="79">
        <f>IF(N(M22)=0,"",N22/M22)</f>
        <v/>
      </c>
      <c r="P22" s="80">
        <f>IF(N(M22)=0,"",IF(N22=M22,"Concluída",IF(COUNTIF($F22:$L22,"R")&gt;0,"Reprogramada",IF(N22&gt;0,"Em andamento","Planejada"))))</f>
        <v/>
      </c>
    </row>
    <row r="23" ht="19" customHeight="1">
      <c r="A23" s="72" t="n">
        <v>14</v>
      </c>
      <c r="B23" s="73" t="n"/>
      <c r="C23" s="74">
        <f>IF(B23="","",IFERROR(INDEX(tb_pcm_ativos[descricao_ativo],MATCH(B23,tb_pcm_ativos[tag],0)),"fora do cadastro"))</f>
        <v/>
      </c>
      <c r="D23" s="75" t="n"/>
      <c r="E23" s="76" t="n"/>
      <c r="F23" s="77" t="n"/>
      <c r="G23" s="77" t="n"/>
      <c r="H23" s="77" t="n"/>
      <c r="I23" s="77" t="n"/>
      <c r="J23" s="77" t="n"/>
      <c r="K23" s="77" t="n"/>
      <c r="L23" s="77" t="n"/>
      <c r="M23" s="78">
        <f>IF(COUNTA($F23:$L23)=0,"",COUNTIF($F23:$L23,"●")+COUNTIF($F23:$L23,"✔")+COUNTIF($F23:$L23,"R"))</f>
        <v/>
      </c>
      <c r="N23" s="78">
        <f>IF(M23="","",COUNTIF($F23:$L23,"✔"))</f>
        <v/>
      </c>
      <c r="O23" s="79">
        <f>IF(N(M23)=0,"",N23/M23)</f>
        <v/>
      </c>
      <c r="P23" s="80">
        <f>IF(N(M23)=0,"",IF(N23=M23,"Concluída",IF(COUNTIF($F23:$L23,"R")&gt;0,"Reprogramada",IF(N23&gt;0,"Em andamento","Planejada"))))</f>
        <v/>
      </c>
    </row>
    <row r="24" ht="19" customHeight="1">
      <c r="A24" s="72" t="n">
        <v>15</v>
      </c>
      <c r="B24" s="73" t="n"/>
      <c r="C24" s="74">
        <f>IF(B24="","",IFERROR(INDEX(tb_pcm_ativos[descricao_ativo],MATCH(B24,tb_pcm_ativos[tag],0)),"fora do cadastro"))</f>
        <v/>
      </c>
      <c r="D24" s="75" t="n"/>
      <c r="E24" s="76" t="n"/>
      <c r="F24" s="77" t="n"/>
      <c r="G24" s="77" t="n"/>
      <c r="H24" s="77" t="n"/>
      <c r="I24" s="77" t="n"/>
      <c r="J24" s="77" t="n"/>
      <c r="K24" s="77" t="n"/>
      <c r="L24" s="77" t="n"/>
      <c r="M24" s="78">
        <f>IF(COUNTA($F24:$L24)=0,"",COUNTIF($F24:$L24,"●")+COUNTIF($F24:$L24,"✔")+COUNTIF($F24:$L24,"R"))</f>
        <v/>
      </c>
      <c r="N24" s="78">
        <f>IF(M24="","",COUNTIF($F24:$L24,"✔"))</f>
        <v/>
      </c>
      <c r="O24" s="79">
        <f>IF(N(M24)=0,"",N24/M24)</f>
        <v/>
      </c>
      <c r="P24" s="80">
        <f>IF(N(M24)=0,"",IF(N24=M24,"Concluída",IF(COUNTIF($F24:$L24,"R")&gt;0,"Reprogramada",IF(N24&gt;0,"Em andamento","Planejada"))))</f>
        <v/>
      </c>
    </row>
    <row r="25" ht="19" customHeight="1">
      <c r="A25" s="72" t="n">
        <v>16</v>
      </c>
      <c r="B25" s="73" t="n"/>
      <c r="C25" s="74">
        <f>IF(B25="","",IFERROR(INDEX(tb_pcm_ativos[descricao_ativo],MATCH(B25,tb_pcm_ativos[tag],0)),"fora do cadastro"))</f>
        <v/>
      </c>
      <c r="D25" s="75" t="n"/>
      <c r="E25" s="76" t="n"/>
      <c r="F25" s="77" t="n"/>
      <c r="G25" s="77" t="n"/>
      <c r="H25" s="77" t="n"/>
      <c r="I25" s="77" t="n"/>
      <c r="J25" s="77" t="n"/>
      <c r="K25" s="77" t="n"/>
      <c r="L25" s="77" t="n"/>
      <c r="M25" s="78">
        <f>IF(COUNTA($F25:$L25)=0,"",COUNTIF($F25:$L25,"●")+COUNTIF($F25:$L25,"✔")+COUNTIF($F25:$L25,"R"))</f>
        <v/>
      </c>
      <c r="N25" s="78">
        <f>IF(M25="","",COUNTIF($F25:$L25,"✔"))</f>
        <v/>
      </c>
      <c r="O25" s="79">
        <f>IF(N(M25)=0,"",N25/M25)</f>
        <v/>
      </c>
      <c r="P25" s="80">
        <f>IF(N(M25)=0,"",IF(N25=M25,"Concluída",IF(COUNTIF($F25:$L25,"R")&gt;0,"Reprogramada",IF(N25&gt;0,"Em andamento","Planejada"))))</f>
        <v/>
      </c>
    </row>
    <row r="26" ht="19" customHeight="1">
      <c r="A26" s="72" t="n">
        <v>17</v>
      </c>
      <c r="B26" s="73" t="n"/>
      <c r="C26" s="74">
        <f>IF(B26="","",IFERROR(INDEX(tb_pcm_ativos[descricao_ativo],MATCH(B26,tb_pcm_ativos[tag],0)),"fora do cadastro"))</f>
        <v/>
      </c>
      <c r="D26" s="75" t="n"/>
      <c r="E26" s="76" t="n"/>
      <c r="F26" s="77" t="n"/>
      <c r="G26" s="77" t="n"/>
      <c r="H26" s="77" t="n"/>
      <c r="I26" s="77" t="n"/>
      <c r="J26" s="77" t="n"/>
      <c r="K26" s="77" t="n"/>
      <c r="L26" s="77" t="n"/>
      <c r="M26" s="78">
        <f>IF(COUNTA($F26:$L26)=0,"",COUNTIF($F26:$L26,"●")+COUNTIF($F26:$L26,"✔")+COUNTIF($F26:$L26,"R"))</f>
        <v/>
      </c>
      <c r="N26" s="78">
        <f>IF(M26="","",COUNTIF($F26:$L26,"✔"))</f>
        <v/>
      </c>
      <c r="O26" s="79">
        <f>IF(N(M26)=0,"",N26/M26)</f>
        <v/>
      </c>
      <c r="P26" s="80">
        <f>IF(N(M26)=0,"",IF(N26=M26,"Concluída",IF(COUNTIF($F26:$L26,"R")&gt;0,"Reprogramada",IF(N26&gt;0,"Em andamento","Planejada"))))</f>
        <v/>
      </c>
    </row>
    <row r="27" ht="19" customHeight="1">
      <c r="A27" s="72" t="n">
        <v>18</v>
      </c>
      <c r="B27" s="73" t="n"/>
      <c r="C27" s="74">
        <f>IF(B27="","",IFERROR(INDEX(tb_pcm_ativos[descricao_ativo],MATCH(B27,tb_pcm_ativos[tag],0)),"fora do cadastro"))</f>
        <v/>
      </c>
      <c r="D27" s="75" t="n"/>
      <c r="E27" s="76" t="n"/>
      <c r="F27" s="77" t="n"/>
      <c r="G27" s="77" t="n"/>
      <c r="H27" s="77" t="n"/>
      <c r="I27" s="77" t="n"/>
      <c r="J27" s="77" t="n"/>
      <c r="K27" s="77" t="n"/>
      <c r="L27" s="77" t="n"/>
      <c r="M27" s="78">
        <f>IF(COUNTA($F27:$L27)=0,"",COUNTIF($F27:$L27,"●")+COUNTIF($F27:$L27,"✔")+COUNTIF($F27:$L27,"R"))</f>
        <v/>
      </c>
      <c r="N27" s="78">
        <f>IF(M27="","",COUNTIF($F27:$L27,"✔"))</f>
        <v/>
      </c>
      <c r="O27" s="79">
        <f>IF(N(M27)=0,"",N27/M27)</f>
        <v/>
      </c>
      <c r="P27" s="80">
        <f>IF(N(M27)=0,"",IF(N27=M27,"Concluída",IF(COUNTIF($F27:$L27,"R")&gt;0,"Reprogramada",IF(N27&gt;0,"Em andamento","Planejada"))))</f>
        <v/>
      </c>
    </row>
    <row r="28" ht="19" customHeight="1">
      <c r="A28" s="72" t="n">
        <v>19</v>
      </c>
      <c r="B28" s="73" t="n"/>
      <c r="C28" s="74">
        <f>IF(B28="","",IFERROR(INDEX(tb_pcm_ativos[descricao_ativo],MATCH(B28,tb_pcm_ativos[tag],0)),"fora do cadastro"))</f>
        <v/>
      </c>
      <c r="D28" s="75" t="n"/>
      <c r="E28" s="76" t="n"/>
      <c r="F28" s="77" t="n"/>
      <c r="G28" s="77" t="n"/>
      <c r="H28" s="77" t="n"/>
      <c r="I28" s="77" t="n"/>
      <c r="J28" s="77" t="n"/>
      <c r="K28" s="77" t="n"/>
      <c r="L28" s="77" t="n"/>
      <c r="M28" s="78">
        <f>IF(COUNTA($F28:$L28)=0,"",COUNTIF($F28:$L28,"●")+COUNTIF($F28:$L28,"✔")+COUNTIF($F28:$L28,"R"))</f>
        <v/>
      </c>
      <c r="N28" s="78">
        <f>IF(M28="","",COUNTIF($F28:$L28,"✔"))</f>
        <v/>
      </c>
      <c r="O28" s="79">
        <f>IF(N(M28)=0,"",N28/M28)</f>
        <v/>
      </c>
      <c r="P28" s="80">
        <f>IF(N(M28)=0,"",IF(N28=M28,"Concluída",IF(COUNTIF($F28:$L28,"R")&gt;0,"Reprogramada",IF(N28&gt;0,"Em andamento","Planejada"))))</f>
        <v/>
      </c>
    </row>
    <row r="29" ht="19" customHeight="1">
      <c r="A29" s="72" t="n">
        <v>20</v>
      </c>
      <c r="B29" s="73" t="n"/>
      <c r="C29" s="74">
        <f>IF(B29="","",IFERROR(INDEX(tb_pcm_ativos[descricao_ativo],MATCH(B29,tb_pcm_ativos[tag],0)),"fora do cadastro"))</f>
        <v/>
      </c>
      <c r="D29" s="75" t="n"/>
      <c r="E29" s="76" t="n"/>
      <c r="F29" s="77" t="n"/>
      <c r="G29" s="77" t="n"/>
      <c r="H29" s="77" t="n"/>
      <c r="I29" s="77" t="n"/>
      <c r="J29" s="77" t="n"/>
      <c r="K29" s="77" t="n"/>
      <c r="L29" s="77" t="n"/>
      <c r="M29" s="78">
        <f>IF(COUNTA($F29:$L29)=0,"",COUNTIF($F29:$L29,"●")+COUNTIF($F29:$L29,"✔")+COUNTIF($F29:$L29,"R"))</f>
        <v/>
      </c>
      <c r="N29" s="78">
        <f>IF(M29="","",COUNTIF($F29:$L29,"✔"))</f>
        <v/>
      </c>
      <c r="O29" s="79">
        <f>IF(N(M29)=0,"",N29/M29)</f>
        <v/>
      </c>
      <c r="P29" s="80">
        <f>IF(N(M29)=0,"",IF(N29=M29,"Concluída",IF(COUNTIF($F29:$L29,"R")&gt;0,"Reprogramada",IF(N29&gt;0,"Em andamento","Planejada"))))</f>
        <v/>
      </c>
    </row>
    <row r="30" ht="19" customHeight="1">
      <c r="A30" s="72" t="n">
        <v>21</v>
      </c>
      <c r="B30" s="73" t="n"/>
      <c r="C30" s="74">
        <f>IF(B30="","",IFERROR(INDEX(tb_pcm_ativos[descricao_ativo],MATCH(B30,tb_pcm_ativos[tag],0)),"fora do cadastro"))</f>
        <v/>
      </c>
      <c r="D30" s="75" t="n"/>
      <c r="E30" s="76" t="n"/>
      <c r="F30" s="77" t="n"/>
      <c r="G30" s="77" t="n"/>
      <c r="H30" s="77" t="n"/>
      <c r="I30" s="77" t="n"/>
      <c r="J30" s="77" t="n"/>
      <c r="K30" s="77" t="n"/>
      <c r="L30" s="77" t="n"/>
      <c r="M30" s="78">
        <f>IF(COUNTA($F30:$L30)=0,"",COUNTIF($F30:$L30,"●")+COUNTIF($F30:$L30,"✔")+COUNTIF($F30:$L30,"R"))</f>
        <v/>
      </c>
      <c r="N30" s="78">
        <f>IF(M30="","",COUNTIF($F30:$L30,"✔"))</f>
        <v/>
      </c>
      <c r="O30" s="79">
        <f>IF(N(M30)=0,"",N30/M30)</f>
        <v/>
      </c>
      <c r="P30" s="80">
        <f>IF(N(M30)=0,"",IF(N30=M30,"Concluída",IF(COUNTIF($F30:$L30,"R")&gt;0,"Reprogramada",IF(N30&gt;0,"Em andamento","Planejada"))))</f>
        <v/>
      </c>
    </row>
    <row r="31" ht="19" customHeight="1">
      <c r="A31" s="72" t="n">
        <v>22</v>
      </c>
      <c r="B31" s="73" t="n"/>
      <c r="C31" s="74">
        <f>IF(B31="","",IFERROR(INDEX(tb_pcm_ativos[descricao_ativo],MATCH(B31,tb_pcm_ativos[tag],0)),"fora do cadastro"))</f>
        <v/>
      </c>
      <c r="D31" s="75" t="n"/>
      <c r="E31" s="76" t="n"/>
      <c r="F31" s="77" t="n"/>
      <c r="G31" s="77" t="n"/>
      <c r="H31" s="77" t="n"/>
      <c r="I31" s="77" t="n"/>
      <c r="J31" s="77" t="n"/>
      <c r="K31" s="77" t="n"/>
      <c r="L31" s="77" t="n"/>
      <c r="M31" s="78">
        <f>IF(COUNTA($F31:$L31)=0,"",COUNTIF($F31:$L31,"●")+COUNTIF($F31:$L31,"✔")+COUNTIF($F31:$L31,"R"))</f>
        <v/>
      </c>
      <c r="N31" s="78">
        <f>IF(M31="","",COUNTIF($F31:$L31,"✔"))</f>
        <v/>
      </c>
      <c r="O31" s="79">
        <f>IF(N(M31)=0,"",N31/M31)</f>
        <v/>
      </c>
      <c r="P31" s="80">
        <f>IF(N(M31)=0,"",IF(N31=M31,"Concluída",IF(COUNTIF($F31:$L31,"R")&gt;0,"Reprogramada",IF(N31&gt;0,"Em andamento","Planejada"))))</f>
        <v/>
      </c>
    </row>
    <row r="32" ht="19" customHeight="1">
      <c r="A32" s="72" t="n">
        <v>23</v>
      </c>
      <c r="B32" s="73" t="n"/>
      <c r="C32" s="74">
        <f>IF(B32="","",IFERROR(INDEX(tb_pcm_ativos[descricao_ativo],MATCH(B32,tb_pcm_ativos[tag],0)),"fora do cadastro"))</f>
        <v/>
      </c>
      <c r="D32" s="75" t="n"/>
      <c r="E32" s="76" t="n"/>
      <c r="F32" s="77" t="n"/>
      <c r="G32" s="77" t="n"/>
      <c r="H32" s="77" t="n"/>
      <c r="I32" s="77" t="n"/>
      <c r="J32" s="77" t="n"/>
      <c r="K32" s="77" t="n"/>
      <c r="L32" s="77" t="n"/>
      <c r="M32" s="78">
        <f>IF(COUNTA($F32:$L32)=0,"",COUNTIF($F32:$L32,"●")+COUNTIF($F32:$L32,"✔")+COUNTIF($F32:$L32,"R"))</f>
        <v/>
      </c>
      <c r="N32" s="78">
        <f>IF(M32="","",COUNTIF($F32:$L32,"✔"))</f>
        <v/>
      </c>
      <c r="O32" s="79">
        <f>IF(N(M32)=0,"",N32/M32)</f>
        <v/>
      </c>
      <c r="P32" s="80">
        <f>IF(N(M32)=0,"",IF(N32=M32,"Concluída",IF(COUNTIF($F32:$L32,"R")&gt;0,"Reprogramada",IF(N32&gt;0,"Em andamento","Planejada"))))</f>
        <v/>
      </c>
    </row>
    <row r="33" ht="19" customHeight="1">
      <c r="A33" s="72" t="n">
        <v>24</v>
      </c>
      <c r="B33" s="73" t="n"/>
      <c r="C33" s="74">
        <f>IF(B33="","",IFERROR(INDEX(tb_pcm_ativos[descricao_ativo],MATCH(B33,tb_pcm_ativos[tag],0)),"fora do cadastro"))</f>
        <v/>
      </c>
      <c r="D33" s="75" t="n"/>
      <c r="E33" s="76" t="n"/>
      <c r="F33" s="77" t="n"/>
      <c r="G33" s="77" t="n"/>
      <c r="H33" s="77" t="n"/>
      <c r="I33" s="77" t="n"/>
      <c r="J33" s="77" t="n"/>
      <c r="K33" s="77" t="n"/>
      <c r="L33" s="77" t="n"/>
      <c r="M33" s="78">
        <f>IF(COUNTA($F33:$L33)=0,"",COUNTIF($F33:$L33,"●")+COUNTIF($F33:$L33,"✔")+COUNTIF($F33:$L33,"R"))</f>
        <v/>
      </c>
      <c r="N33" s="78">
        <f>IF(M33="","",COUNTIF($F33:$L33,"✔"))</f>
        <v/>
      </c>
      <c r="O33" s="79">
        <f>IF(N(M33)=0,"",N33/M33)</f>
        <v/>
      </c>
      <c r="P33" s="80">
        <f>IF(N(M33)=0,"",IF(N33=M33,"Concluída",IF(COUNTIF($F33:$L33,"R")&gt;0,"Reprogramada",IF(N33&gt;0,"Em andamento","Planejada"))))</f>
        <v/>
      </c>
    </row>
    <row r="34" ht="19" customHeight="1">
      <c r="A34" s="72" t="n">
        <v>25</v>
      </c>
      <c r="B34" s="73" t="n"/>
      <c r="C34" s="74">
        <f>IF(B34="","",IFERROR(INDEX(tb_pcm_ativos[descricao_ativo],MATCH(B34,tb_pcm_ativos[tag],0)),"fora do cadastro"))</f>
        <v/>
      </c>
      <c r="D34" s="75" t="n"/>
      <c r="E34" s="76" t="n"/>
      <c r="F34" s="77" t="n"/>
      <c r="G34" s="77" t="n"/>
      <c r="H34" s="77" t="n"/>
      <c r="I34" s="77" t="n"/>
      <c r="J34" s="77" t="n"/>
      <c r="K34" s="77" t="n"/>
      <c r="L34" s="77" t="n"/>
      <c r="M34" s="78">
        <f>IF(COUNTA($F34:$L34)=0,"",COUNTIF($F34:$L34,"●")+COUNTIF($F34:$L34,"✔")+COUNTIF($F34:$L34,"R"))</f>
        <v/>
      </c>
      <c r="N34" s="78">
        <f>IF(M34="","",COUNTIF($F34:$L34,"✔"))</f>
        <v/>
      </c>
      <c r="O34" s="79">
        <f>IF(N(M34)=0,"",N34/M34)</f>
        <v/>
      </c>
      <c r="P34" s="80">
        <f>IF(N(M34)=0,"",IF(N34=M34,"Concluída",IF(COUNTIF($F34:$L34,"R")&gt;0,"Reprogramada",IF(N34&gt;0,"Em andamento","Planejada"))))</f>
        <v/>
      </c>
    </row>
    <row r="35" ht="19" customHeight="1">
      <c r="A35" s="72" t="n">
        <v>26</v>
      </c>
      <c r="B35" s="73" t="n"/>
      <c r="C35" s="74">
        <f>IF(B35="","",IFERROR(INDEX(tb_pcm_ativos[descricao_ativo],MATCH(B35,tb_pcm_ativos[tag],0)),"fora do cadastro"))</f>
        <v/>
      </c>
      <c r="D35" s="75" t="n"/>
      <c r="E35" s="76" t="n"/>
      <c r="F35" s="77" t="n"/>
      <c r="G35" s="77" t="n"/>
      <c r="H35" s="77" t="n"/>
      <c r="I35" s="77" t="n"/>
      <c r="J35" s="77" t="n"/>
      <c r="K35" s="77" t="n"/>
      <c r="L35" s="77" t="n"/>
      <c r="M35" s="78">
        <f>IF(COUNTA($F35:$L35)=0,"",COUNTIF($F35:$L35,"●")+COUNTIF($F35:$L35,"✔")+COUNTIF($F35:$L35,"R"))</f>
        <v/>
      </c>
      <c r="N35" s="78">
        <f>IF(M35="","",COUNTIF($F35:$L35,"✔"))</f>
        <v/>
      </c>
      <c r="O35" s="79">
        <f>IF(N(M35)=0,"",N35/M35)</f>
        <v/>
      </c>
      <c r="P35" s="80">
        <f>IF(N(M35)=0,"",IF(N35=M35,"Concluída",IF(COUNTIF($F35:$L35,"R")&gt;0,"Reprogramada",IF(N35&gt;0,"Em andamento","Planejada"))))</f>
        <v/>
      </c>
    </row>
    <row r="36" ht="19" customHeight="1">
      <c r="A36" s="72" t="n">
        <v>27</v>
      </c>
      <c r="B36" s="73" t="n"/>
      <c r="C36" s="74">
        <f>IF(B36="","",IFERROR(INDEX(tb_pcm_ativos[descricao_ativo],MATCH(B36,tb_pcm_ativos[tag],0)),"fora do cadastro"))</f>
        <v/>
      </c>
      <c r="D36" s="75" t="n"/>
      <c r="E36" s="76" t="n"/>
      <c r="F36" s="77" t="n"/>
      <c r="G36" s="77" t="n"/>
      <c r="H36" s="77" t="n"/>
      <c r="I36" s="77" t="n"/>
      <c r="J36" s="77" t="n"/>
      <c r="K36" s="77" t="n"/>
      <c r="L36" s="77" t="n"/>
      <c r="M36" s="78">
        <f>IF(COUNTA($F36:$L36)=0,"",COUNTIF($F36:$L36,"●")+COUNTIF($F36:$L36,"✔")+COUNTIF($F36:$L36,"R"))</f>
        <v/>
      </c>
      <c r="N36" s="78">
        <f>IF(M36="","",COUNTIF($F36:$L36,"✔"))</f>
        <v/>
      </c>
      <c r="O36" s="79">
        <f>IF(N(M36)=0,"",N36/M36)</f>
        <v/>
      </c>
      <c r="P36" s="80">
        <f>IF(N(M36)=0,"",IF(N36=M36,"Concluída",IF(COUNTIF($F36:$L36,"R")&gt;0,"Reprogramada",IF(N36&gt;0,"Em andamento","Planejada"))))</f>
        <v/>
      </c>
    </row>
    <row r="37" ht="19" customHeight="1">
      <c r="A37" s="72" t="n">
        <v>28</v>
      </c>
      <c r="B37" s="73" t="n"/>
      <c r="C37" s="74">
        <f>IF(B37="","",IFERROR(INDEX(tb_pcm_ativos[descricao_ativo],MATCH(B37,tb_pcm_ativos[tag],0)),"fora do cadastro"))</f>
        <v/>
      </c>
      <c r="D37" s="75" t="n"/>
      <c r="E37" s="76" t="n"/>
      <c r="F37" s="77" t="n"/>
      <c r="G37" s="77" t="n"/>
      <c r="H37" s="77" t="n"/>
      <c r="I37" s="77" t="n"/>
      <c r="J37" s="77" t="n"/>
      <c r="K37" s="77" t="n"/>
      <c r="L37" s="77" t="n"/>
      <c r="M37" s="78">
        <f>IF(COUNTA($F37:$L37)=0,"",COUNTIF($F37:$L37,"●")+COUNTIF($F37:$L37,"✔")+COUNTIF($F37:$L37,"R"))</f>
        <v/>
      </c>
      <c r="N37" s="78">
        <f>IF(M37="","",COUNTIF($F37:$L37,"✔"))</f>
        <v/>
      </c>
      <c r="O37" s="79">
        <f>IF(N(M37)=0,"",N37/M37)</f>
        <v/>
      </c>
      <c r="P37" s="80">
        <f>IF(N(M37)=0,"",IF(N37=M37,"Concluída",IF(COUNTIF($F37:$L37,"R")&gt;0,"Reprogramada",IF(N37&gt;0,"Em andamento","Planejada"))))</f>
        <v/>
      </c>
    </row>
    <row r="38" ht="19" customHeight="1">
      <c r="A38" s="72" t="n">
        <v>29</v>
      </c>
      <c r="B38" s="73" t="n"/>
      <c r="C38" s="74">
        <f>IF(B38="","",IFERROR(INDEX(tb_pcm_ativos[descricao_ativo],MATCH(B38,tb_pcm_ativos[tag],0)),"fora do cadastro"))</f>
        <v/>
      </c>
      <c r="D38" s="75" t="n"/>
      <c r="E38" s="76" t="n"/>
      <c r="F38" s="77" t="n"/>
      <c r="G38" s="77" t="n"/>
      <c r="H38" s="77" t="n"/>
      <c r="I38" s="77" t="n"/>
      <c r="J38" s="77" t="n"/>
      <c r="K38" s="77" t="n"/>
      <c r="L38" s="77" t="n"/>
      <c r="M38" s="78">
        <f>IF(COUNTA($F38:$L38)=0,"",COUNTIF($F38:$L38,"●")+COUNTIF($F38:$L38,"✔")+COUNTIF($F38:$L38,"R"))</f>
        <v/>
      </c>
      <c r="N38" s="78">
        <f>IF(M38="","",COUNTIF($F38:$L38,"✔"))</f>
        <v/>
      </c>
      <c r="O38" s="79">
        <f>IF(N(M38)=0,"",N38/M38)</f>
        <v/>
      </c>
      <c r="P38" s="80">
        <f>IF(N(M38)=0,"",IF(N38=M38,"Concluída",IF(COUNTIF($F38:$L38,"R")&gt;0,"Reprogramada",IF(N38&gt;0,"Em andamento","Planejada"))))</f>
        <v/>
      </c>
    </row>
    <row r="39" ht="19" customHeight="1">
      <c r="A39" s="72" t="n">
        <v>30</v>
      </c>
      <c r="B39" s="73" t="n"/>
      <c r="C39" s="74">
        <f>IF(B39="","",IFERROR(INDEX(tb_pcm_ativos[descricao_ativo],MATCH(B39,tb_pcm_ativos[tag],0)),"fora do cadastro"))</f>
        <v/>
      </c>
      <c r="D39" s="75" t="n"/>
      <c r="E39" s="76" t="n"/>
      <c r="F39" s="77" t="n"/>
      <c r="G39" s="77" t="n"/>
      <c r="H39" s="77" t="n"/>
      <c r="I39" s="77" t="n"/>
      <c r="J39" s="77" t="n"/>
      <c r="K39" s="77" t="n"/>
      <c r="L39" s="77" t="n"/>
      <c r="M39" s="78">
        <f>IF(COUNTA($F39:$L39)=0,"",COUNTIF($F39:$L39,"●")+COUNTIF($F39:$L39,"✔")+COUNTIF($F39:$L39,"R"))</f>
        <v/>
      </c>
      <c r="N39" s="78">
        <f>IF(M39="","",COUNTIF($F39:$L39,"✔"))</f>
        <v/>
      </c>
      <c r="O39" s="79">
        <f>IF(N(M39)=0,"",N39/M39)</f>
        <v/>
      </c>
      <c r="P39" s="80">
        <f>IF(N(M39)=0,"",IF(N39=M39,"Concluída",IF(COUNTIF($F39:$L39,"R")&gt;0,"Reprogramada",IF(N39&gt;0,"Em andamento","Planejada"))))</f>
        <v/>
      </c>
    </row>
    <row r="40" ht="20" customHeight="1">
      <c r="A40" s="81" t="inlineStr">
        <is>
          <r>
            <rPr>
              <rFont val="Arial"/>
              <b val="1"/>
              <color rgb="006B7686"/>
              <sz val="8"/>
            </rPr>
            <t xml:space="preserve">●  planejado      </t>
          </r>
          <r>
            <rPr>
              <rFont val="Arial"/>
              <b val="1"/>
              <color rgb="006B7686"/>
              <sz val="8"/>
            </rPr>
            <t xml:space="preserve">✔  realizado      </t>
          </r>
          <r>
            <rPr>
              <rFont val="Arial"/>
              <b val="1"/>
              <color rgb="006B7686"/>
              <sz val="8"/>
            </rPr>
            <t xml:space="preserve">R  reprogramado      </t>
          </r>
          <r>
            <rPr>
              <rFont val="Arial"/>
              <b val="1"/>
              <color rgb="006B7686"/>
              <sz val="8"/>
            </rPr>
            <t xml:space="preserve">|    Escolha a marcação na seta de cada célula. Escolha o ano e a semana no topo.      </t>
          </r>
        </is>
      </c>
    </row>
  </sheetData>
  <mergeCells count="36">
    <mergeCell ref="F4:G4"/>
    <mergeCell ref="E8:E9"/>
    <mergeCell ref="N2:P2"/>
    <mergeCell ref="G8:G9"/>
    <mergeCell ref="B8:B9"/>
    <mergeCell ref="A3:C3"/>
    <mergeCell ref="N1:P1"/>
    <mergeCell ref="H4:I4"/>
    <mergeCell ref="F3:G3"/>
    <mergeCell ref="L3:M3"/>
    <mergeCell ref="N3:O3"/>
    <mergeCell ref="F8:F9"/>
    <mergeCell ref="L8:L9"/>
    <mergeCell ref="A40:P40"/>
    <mergeCell ref="A1:C2"/>
    <mergeCell ref="N8:N9"/>
    <mergeCell ref="P8:P9"/>
    <mergeCell ref="D1:M1"/>
    <mergeCell ref="A4:C4"/>
    <mergeCell ref="J4:K4"/>
    <mergeCell ref="A8:A9"/>
    <mergeCell ref="L4:M4"/>
    <mergeCell ref="C8:C9"/>
    <mergeCell ref="I8:I9"/>
    <mergeCell ref="K8:K9"/>
    <mergeCell ref="M8:M9"/>
    <mergeCell ref="O8:O9"/>
    <mergeCell ref="D8:D9"/>
    <mergeCell ref="D4:E4"/>
    <mergeCell ref="D3:E3"/>
    <mergeCell ref="D2:M2"/>
    <mergeCell ref="H3:I3"/>
    <mergeCell ref="J3:K3"/>
    <mergeCell ref="H8:H9"/>
    <mergeCell ref="J8:J9"/>
    <mergeCell ref="N4:O4"/>
  </mergeCells>
  <conditionalFormatting sqref="F10:L39">
    <cfRule type="expression" priority="1" dxfId="0" stopIfTrue="1">
      <formula>F10="●"</formula>
    </cfRule>
    <cfRule type="expression" priority="2" dxfId="1" stopIfTrue="1">
      <formula>F10="✔"</formula>
    </cfRule>
    <cfRule type="expression" priority="3" dxfId="2" stopIfTrue="1">
      <formula>F10="R"</formula>
    </cfRule>
  </conditionalFormatting>
  <conditionalFormatting sqref="P10:P39">
    <cfRule type="expression" priority="4" dxfId="0" stopIfTrue="1">
      <formula>P10="Planejada"</formula>
    </cfRule>
    <cfRule type="expression" priority="5" dxfId="3" stopIfTrue="1">
      <formula>P10="Em andamento"</formula>
    </cfRule>
    <cfRule type="expression" priority="6" dxfId="4" stopIfTrue="1">
      <formula>P10="Concluída"</formula>
    </cfRule>
    <cfRule type="expression" priority="7" dxfId="2" stopIfTrue="1">
      <formula>P10="Reprogramada"</formula>
    </cfRule>
  </conditionalFormatting>
  <dataValidations count="5">
    <dataValidation sqref="A4" showDropDown="0" showInputMessage="0" showErrorMessage="1" allowBlank="1" errorTitle="Valor fora da lista" error="Escolha um item da lista." type="list" errorStyle="stop">
      <formula1>"2025,2026,2027,2028,2029,2030,2031,2032,2033,2034,2035"</formula1>
    </dataValidation>
    <dataValidation sqref="D4" showDropDown="0" showInputMessage="0" showErrorMessage="1" allowBlank="1" errorTitle="Valor fora da lista" error="Escolha um item da lista." type="list" errorStyle="stop">
      <formula1>"1,2,3,4,5,6,7,8,9,10,11,12,13,14,15,16,17,18,19,20,21,22,23,24,25,26,27,28,29,30,31,32,33,34,35,36,37,38,39,40,41,42,43,44,45,46,47,48,49,50,51,52,53"</formula1>
    </dataValidation>
    <dataValidation sqref="B10:B39" showDropDown="0" showInputMessage="0" showErrorMessage="1" allowBlank="1" errorTitle="Valor fora da lista" error="Escolha um item da lista." type="list" errorStyle="stop">
      <formula1>L_TAGS</formula1>
    </dataValidation>
    <dataValidation sqref="E10:E39" showDropDown="0" showInputMessage="0" showErrorMessage="1" allowBlank="1" errorTitle="Valor fora da lista" error="Escolha um item da lista." type="list" errorStyle="stop">
      <formula1>L_PESSOAS</formula1>
    </dataValidation>
    <dataValidation sqref="F10:L39" showDropDown="0" showInputMessage="0" showErrorMessage="1" allowBlank="1" errorTitle="Valor fora da lista" error="Escolha um item da lista." type="list" errorStyle="stop">
      <formula1>"●,✔,R"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AN40"/>
  <sheetViews>
    <sheetView showGridLines="0" tabSelected="0" zoomScale="9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30" customWidth="1" min="4" max="4"/>
    <col width="14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6.5" customWidth="1" min="37" max="37"/>
    <col width="6.5" customWidth="1" min="38" max="38"/>
    <col width="7" customWidth="1" min="39" max="39"/>
    <col width="13" customWidth="1" min="40" max="40"/>
  </cols>
  <sheetData>
    <row r="1" ht="30.75" customHeight="1">
      <c r="A1" s="40" t="n"/>
      <c r="B1" s="41" t="n"/>
      <c r="C1" s="42" t="n"/>
      <c r="D1" s="43" t="inlineStr">
        <is>
          <t>Planner mensal</t>
        </is>
      </c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2" t="n"/>
      <c r="AJ1" s="44">
        <f>"Rev. "&amp;'Leia-me'!$D$15&amp;"   ·   "&amp;'Leia-me'!$D$16</f>
        <v/>
      </c>
      <c r="AK1" s="41" t="n"/>
      <c r="AL1" s="41" t="n"/>
      <c r="AM1" s="41" t="n"/>
      <c r="AN1" s="42" t="n"/>
    </row>
    <row r="2" ht="28" customHeight="1">
      <c r="A2" s="45" t="n"/>
      <c r="B2" s="46" t="n"/>
      <c r="C2" s="47" t="n"/>
      <c r="D2" s="48" t="inlineStr">
        <is>
          <t>Objetivo: Programar o mês dia a dia e acompanhar a execução de cada atividade</t>
        </is>
      </c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7" t="n"/>
      <c r="AJ2" s="48">
        <f>"Elaborado: "&amp;'Leia-me'!$D$13&amp;"   ·   Aprovado: "&amp;'Leia-me'!$D$14</f>
        <v/>
      </c>
      <c r="AK2" s="46" t="n"/>
      <c r="AL2" s="46" t="n"/>
      <c r="AM2" s="46" t="n"/>
      <c r="AN2" s="47" t="n"/>
    </row>
    <row r="3" ht="14" customHeight="1">
      <c r="A3" s="49" t="inlineStr">
        <is>
          <t>Ano ▼</t>
        </is>
      </c>
      <c r="B3" s="50" t="n"/>
      <c r="C3" s="50" t="n"/>
      <c r="D3" s="51" t="inlineStr">
        <is>
          <t>Mês ▼</t>
        </is>
      </c>
      <c r="E3" s="50" t="n"/>
      <c r="F3" s="51" t="inlineStr">
        <is>
          <t>Atividades</t>
        </is>
      </c>
      <c r="G3" s="50" t="n"/>
      <c r="H3" s="50" t="n"/>
      <c r="I3" s="50" t="n"/>
      <c r="J3" s="50" t="n"/>
      <c r="K3" s="50" t="n"/>
      <c r="L3" s="50" t="n"/>
      <c r="M3" s="51" t="inlineStr">
        <is>
          <t>Marcações</t>
        </is>
      </c>
      <c r="N3" s="50" t="n"/>
      <c r="O3" s="50" t="n"/>
      <c r="P3" s="50" t="n"/>
      <c r="Q3" s="50" t="n"/>
      <c r="R3" s="50" t="n"/>
      <c r="S3" s="50" t="n"/>
      <c r="T3" s="51" t="inlineStr">
        <is>
          <t>Realizadas</t>
        </is>
      </c>
      <c r="U3" s="50" t="n"/>
      <c r="V3" s="50" t="n"/>
      <c r="W3" s="50" t="n"/>
      <c r="X3" s="50" t="n"/>
      <c r="Y3" s="50" t="n"/>
      <c r="Z3" s="50" t="n"/>
      <c r="AA3" s="51" t="inlineStr">
        <is>
          <t>Reprogramadas</t>
        </is>
      </c>
      <c r="AB3" s="50" t="n"/>
      <c r="AC3" s="50" t="n"/>
      <c r="AD3" s="50" t="n"/>
      <c r="AE3" s="50" t="n"/>
      <c r="AF3" s="50" t="n"/>
      <c r="AG3" s="50" t="n"/>
      <c r="AH3" s="51" t="inlineStr">
        <is>
          <t>Concluídas</t>
        </is>
      </c>
      <c r="AI3" s="50" t="n"/>
      <c r="AJ3" s="50" t="n"/>
      <c r="AK3" s="50" t="n"/>
      <c r="AL3" s="50" t="n"/>
      <c r="AM3" s="52" t="inlineStr">
        <is>
          <t>% realizado</t>
        </is>
      </c>
      <c r="AN3" s="82" t="n"/>
    </row>
    <row r="4" ht="24" customHeight="1">
      <c r="A4" s="53" t="n"/>
      <c r="B4" s="20" t="n"/>
      <c r="C4" s="54" t="n"/>
      <c r="D4" s="53" t="n"/>
      <c r="E4" s="54" t="n"/>
      <c r="F4" s="55">
        <f>COUNTIF(D10:D39,"?*")</f>
        <v/>
      </c>
      <c r="G4" s="25" t="n"/>
      <c r="H4" s="25" t="n"/>
      <c r="I4" s="25" t="n"/>
      <c r="J4" s="25" t="n"/>
      <c r="K4" s="25" t="n"/>
      <c r="L4" s="56" t="n"/>
      <c r="M4" s="57">
        <f>SUM(AK10:AK39)</f>
        <v/>
      </c>
      <c r="N4" s="25" t="n"/>
      <c r="O4" s="25" t="n"/>
      <c r="P4" s="25" t="n"/>
      <c r="Q4" s="25" t="n"/>
      <c r="R4" s="25" t="n"/>
      <c r="S4" s="56" t="n"/>
      <c r="T4" s="58">
        <f>SUM(AL10:AL39)</f>
        <v/>
      </c>
      <c r="U4" s="25" t="n"/>
      <c r="V4" s="25" t="n"/>
      <c r="W4" s="25" t="n"/>
      <c r="X4" s="25" t="n"/>
      <c r="Y4" s="25" t="n"/>
      <c r="Z4" s="56" t="n"/>
      <c r="AA4" s="59">
        <f>COUNTIF(F10:AJ39,"R")</f>
        <v/>
      </c>
      <c r="AB4" s="25" t="n"/>
      <c r="AC4" s="25" t="n"/>
      <c r="AD4" s="25" t="n"/>
      <c r="AE4" s="25" t="n"/>
      <c r="AF4" s="25" t="n"/>
      <c r="AG4" s="56" t="n"/>
      <c r="AH4" s="58">
        <f>COUNTIF(AN10:AN39,"Concluída")</f>
        <v/>
      </c>
      <c r="AI4" s="25" t="n"/>
      <c r="AJ4" s="25" t="n"/>
      <c r="AK4" s="25" t="n"/>
      <c r="AL4" s="56" t="n"/>
      <c r="AM4" s="83">
        <f>IF(N(M4)=0,"",T4/M4)</f>
        <v/>
      </c>
      <c r="AN4" s="56" t="n"/>
    </row>
    <row r="5" ht="8" customHeight="1">
      <c r="A5" s="61" t="n"/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  <c r="AA5" s="61" t="n"/>
      <c r="AB5" s="61" t="n"/>
      <c r="AC5" s="61" t="n"/>
      <c r="AD5" s="61" t="n"/>
      <c r="AE5" s="61" t="n"/>
      <c r="AF5" s="61" t="n"/>
      <c r="AG5" s="61" t="n"/>
      <c r="AH5" s="61" t="n"/>
      <c r="AI5" s="61" t="n"/>
      <c r="AJ5" s="61" t="n"/>
      <c r="AK5" s="61" t="n"/>
      <c r="AL5" s="61" t="n"/>
      <c r="AM5" s="61" t="n"/>
      <c r="AN5" s="61" t="n"/>
    </row>
    <row r="6" ht="4" customHeight="1">
      <c r="A6" s="61" t="n"/>
      <c r="B6" s="61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1" t="n"/>
      <c r="AK6" s="61" t="n"/>
      <c r="AL6" s="61" t="n"/>
      <c r="AM6" s="61" t="n"/>
      <c r="AN6" s="61" t="n"/>
    </row>
    <row r="7" ht="4" customHeight="1">
      <c r="A7" s="61" t="n"/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  <c r="AA7" s="61" t="n"/>
      <c r="AB7" s="61" t="n"/>
      <c r="AC7" s="61" t="n"/>
      <c r="AD7" s="61" t="n"/>
      <c r="AE7" s="61" t="n"/>
      <c r="AF7" s="61" t="n"/>
      <c r="AG7" s="61" t="n"/>
      <c r="AH7" s="61" t="n"/>
      <c r="AI7" s="61" t="n"/>
      <c r="AJ7" s="61" t="n"/>
      <c r="AK7" s="61" t="n"/>
      <c r="AL7" s="61" t="n"/>
      <c r="AM7" s="61" t="n"/>
      <c r="AN7" s="61" t="n"/>
    </row>
    <row r="8" ht="17" customHeight="1">
      <c r="A8" s="62" t="inlineStr">
        <is>
          <t>Nº</t>
        </is>
      </c>
      <c r="B8" s="63" t="inlineStr">
        <is>
          <t>TAG ▼</t>
        </is>
      </c>
      <c r="C8" s="63" t="inlineStr">
        <is>
          <t>Equipamento</t>
        </is>
      </c>
      <c r="D8" s="63" t="inlineStr">
        <is>
          <t>Atividade</t>
        </is>
      </c>
      <c r="E8" s="63" t="inlineStr">
        <is>
          <t>Responsável ▼</t>
        </is>
      </c>
      <c r="F8" s="84" t="inlineStr">
        <is>
          <t>DIAS DO MÊS</t>
        </is>
      </c>
      <c r="G8" s="85" t="n"/>
      <c r="H8" s="85" t="n"/>
      <c r="I8" s="85" t="n"/>
      <c r="J8" s="85" t="n"/>
      <c r="K8" s="85" t="n"/>
      <c r="L8" s="85" t="n"/>
      <c r="M8" s="86" t="n"/>
      <c r="N8" s="85" t="n"/>
      <c r="O8" s="85" t="n"/>
      <c r="P8" s="85" t="n"/>
      <c r="Q8" s="85" t="n"/>
      <c r="R8" s="85" t="n"/>
      <c r="S8" s="85" t="n"/>
      <c r="T8" s="86" t="n"/>
      <c r="U8" s="85" t="n"/>
      <c r="V8" s="85" t="n"/>
      <c r="W8" s="85" t="n"/>
      <c r="X8" s="85" t="n"/>
      <c r="Y8" s="85" t="n"/>
      <c r="Z8" s="85" t="n"/>
      <c r="AA8" s="86" t="n"/>
      <c r="AB8" s="85" t="n"/>
      <c r="AC8" s="85" t="n"/>
      <c r="AD8" s="85" t="n"/>
      <c r="AE8" s="85" t="n"/>
      <c r="AF8" s="85" t="n"/>
      <c r="AG8" s="85" t="n"/>
      <c r="AH8" s="86" t="n"/>
      <c r="AI8" s="85" t="n"/>
      <c r="AJ8" s="85" t="n"/>
      <c r="AK8" s="65" t="inlineStr">
        <is>
          <t>Plan.</t>
        </is>
      </c>
      <c r="AL8" s="65" t="inlineStr">
        <is>
          <t>Real.</t>
        </is>
      </c>
      <c r="AM8" s="65" t="inlineStr">
        <is>
          <t>%</t>
        </is>
      </c>
      <c r="AN8" s="66" t="inlineStr">
        <is>
          <t>Situação</t>
        </is>
      </c>
    </row>
    <row r="9" ht="16" customHeight="1">
      <c r="A9" s="67" t="n"/>
      <c r="B9" s="68" t="n"/>
      <c r="C9" s="68" t="n"/>
      <c r="D9" s="68" t="n"/>
      <c r="E9" s="68" t="n"/>
      <c r="F9" s="87" t="n">
        <v>1</v>
      </c>
      <c r="G9" s="88" t="n">
        <v>2</v>
      </c>
      <c r="H9" s="88" t="n">
        <v>3</v>
      </c>
      <c r="I9" s="88" t="n">
        <v>4</v>
      </c>
      <c r="J9" s="88" t="n">
        <v>5</v>
      </c>
      <c r="K9" s="88" t="n">
        <v>6</v>
      </c>
      <c r="L9" s="88" t="n">
        <v>7</v>
      </c>
      <c r="M9" s="87" t="n">
        <v>8</v>
      </c>
      <c r="N9" s="88" t="n">
        <v>9</v>
      </c>
      <c r="O9" s="88" t="n">
        <v>10</v>
      </c>
      <c r="P9" s="88" t="n">
        <v>11</v>
      </c>
      <c r="Q9" s="88" t="n">
        <v>12</v>
      </c>
      <c r="R9" s="88" t="n">
        <v>13</v>
      </c>
      <c r="S9" s="88" t="n">
        <v>14</v>
      </c>
      <c r="T9" s="87" t="n">
        <v>15</v>
      </c>
      <c r="U9" s="88" t="n">
        <v>16</v>
      </c>
      <c r="V9" s="88" t="n">
        <v>17</v>
      </c>
      <c r="W9" s="88" t="n">
        <v>18</v>
      </c>
      <c r="X9" s="88" t="n">
        <v>19</v>
      </c>
      <c r="Y9" s="88" t="n">
        <v>20</v>
      </c>
      <c r="Z9" s="88" t="n">
        <v>21</v>
      </c>
      <c r="AA9" s="87" t="n">
        <v>22</v>
      </c>
      <c r="AB9" s="88" t="n">
        <v>23</v>
      </c>
      <c r="AC9" s="88" t="n">
        <v>24</v>
      </c>
      <c r="AD9" s="88" t="n">
        <v>25</v>
      </c>
      <c r="AE9" s="88" t="n">
        <v>26</v>
      </c>
      <c r="AF9" s="88" t="n">
        <v>27</v>
      </c>
      <c r="AG9" s="88" t="n">
        <v>28</v>
      </c>
      <c r="AH9" s="87" t="n">
        <v>29</v>
      </c>
      <c r="AI9" s="88" t="n">
        <v>30</v>
      </c>
      <c r="AJ9" s="88" t="n">
        <v>31</v>
      </c>
      <c r="AK9" s="70" t="n"/>
      <c r="AL9" s="70" t="n"/>
      <c r="AM9" s="70" t="n"/>
      <c r="AN9" s="71" t="n"/>
    </row>
    <row r="10" ht="19" customHeight="1">
      <c r="A10" s="72" t="n">
        <v>1</v>
      </c>
      <c r="B10" s="73" t="n"/>
      <c r="C10" s="74">
        <f>IF(B10="","",IFERROR(INDEX(tb_pcm_ativos[descricao_ativo],MATCH(B10,tb_pcm_ativos[tag],0)),"fora do cadastro"))</f>
        <v/>
      </c>
      <c r="D10" s="75" t="n"/>
      <c r="E10" s="76" t="n"/>
      <c r="F10" s="77" t="n"/>
      <c r="G10" s="77" t="n"/>
      <c r="H10" s="77" t="n"/>
      <c r="I10" s="77" t="n"/>
      <c r="J10" s="77" t="n"/>
      <c r="K10" s="77" t="n"/>
      <c r="L10" s="77" t="n"/>
      <c r="M10" s="89" t="n"/>
      <c r="N10" s="77" t="n"/>
      <c r="O10" s="77" t="n"/>
      <c r="P10" s="77" t="n"/>
      <c r="Q10" s="77" t="n"/>
      <c r="R10" s="77" t="n"/>
      <c r="S10" s="77" t="n"/>
      <c r="T10" s="89" t="n"/>
      <c r="U10" s="77" t="n"/>
      <c r="V10" s="77" t="n"/>
      <c r="W10" s="77" t="n"/>
      <c r="X10" s="77" t="n"/>
      <c r="Y10" s="77" t="n"/>
      <c r="Z10" s="77" t="n"/>
      <c r="AA10" s="89" t="n"/>
      <c r="AB10" s="77" t="n"/>
      <c r="AC10" s="77" t="n"/>
      <c r="AD10" s="77" t="n"/>
      <c r="AE10" s="77" t="n"/>
      <c r="AF10" s="77" t="n"/>
      <c r="AG10" s="77" t="n"/>
      <c r="AH10" s="89" t="n"/>
      <c r="AI10" s="77" t="n"/>
      <c r="AJ10" s="77" t="n"/>
      <c r="AK10" s="90">
        <f>IF(COUNTA($F10:$AJ10)=0,"",COUNTIF($F10:$AJ10,"●")+COUNTIF($F10:$AJ10,"✔")+COUNTIF($F10:$AJ10,"R"))</f>
        <v/>
      </c>
      <c r="AL10" s="78">
        <f>IF(AK10="","",COUNTIF($F10:$AJ10,"✔"))</f>
        <v/>
      </c>
      <c r="AM10" s="79">
        <f>IF(N(AK10)=0,"",AL10/AK10)</f>
        <v/>
      </c>
      <c r="AN10" s="80">
        <f>IF(N(AK10)=0,"",IF(AL10=AK10,"Concluída",IF(COUNTIF($F10:$AJ10,"R")&gt;0,"Reprogramada",IF(AL10&gt;0,"Em andamento","Planejada"))))</f>
        <v/>
      </c>
    </row>
    <row r="11" ht="19" customHeight="1">
      <c r="A11" s="72" t="n">
        <v>2</v>
      </c>
      <c r="B11" s="73" t="n"/>
      <c r="C11" s="74">
        <f>IF(B11="","",IFERROR(INDEX(tb_pcm_ativos[descricao_ativo],MATCH(B11,tb_pcm_ativos[tag],0)),"fora do cadastro"))</f>
        <v/>
      </c>
      <c r="D11" s="75" t="n"/>
      <c r="E11" s="76" t="n"/>
      <c r="F11" s="77" t="n"/>
      <c r="G11" s="77" t="n"/>
      <c r="H11" s="77" t="n"/>
      <c r="I11" s="77" t="n"/>
      <c r="J11" s="77" t="n"/>
      <c r="K11" s="77" t="n"/>
      <c r="L11" s="77" t="n"/>
      <c r="M11" s="89" t="n"/>
      <c r="N11" s="77" t="n"/>
      <c r="O11" s="77" t="n"/>
      <c r="P11" s="77" t="n"/>
      <c r="Q11" s="77" t="n"/>
      <c r="R11" s="77" t="n"/>
      <c r="S11" s="77" t="n"/>
      <c r="T11" s="89" t="n"/>
      <c r="U11" s="77" t="n"/>
      <c r="V11" s="77" t="n"/>
      <c r="W11" s="77" t="n"/>
      <c r="X11" s="77" t="n"/>
      <c r="Y11" s="77" t="n"/>
      <c r="Z11" s="77" t="n"/>
      <c r="AA11" s="89" t="n"/>
      <c r="AB11" s="77" t="n"/>
      <c r="AC11" s="77" t="n"/>
      <c r="AD11" s="77" t="n"/>
      <c r="AE11" s="77" t="n"/>
      <c r="AF11" s="77" t="n"/>
      <c r="AG11" s="77" t="n"/>
      <c r="AH11" s="89" t="n"/>
      <c r="AI11" s="77" t="n"/>
      <c r="AJ11" s="77" t="n"/>
      <c r="AK11" s="90">
        <f>IF(COUNTA($F11:$AJ11)=0,"",COUNTIF($F11:$AJ11,"●")+COUNTIF($F11:$AJ11,"✔")+COUNTIF($F11:$AJ11,"R"))</f>
        <v/>
      </c>
      <c r="AL11" s="78">
        <f>IF(AK11="","",COUNTIF($F11:$AJ11,"✔"))</f>
        <v/>
      </c>
      <c r="AM11" s="79">
        <f>IF(N(AK11)=0,"",AL11/AK11)</f>
        <v/>
      </c>
      <c r="AN11" s="80">
        <f>IF(N(AK11)=0,"",IF(AL11=AK11,"Concluída",IF(COUNTIF($F11:$AJ11,"R")&gt;0,"Reprogramada",IF(AL11&gt;0,"Em andamento","Planejada"))))</f>
        <v/>
      </c>
    </row>
    <row r="12" ht="19" customHeight="1">
      <c r="A12" s="72" t="n">
        <v>3</v>
      </c>
      <c r="B12" s="73" t="n"/>
      <c r="C12" s="74">
        <f>IF(B12="","",IFERROR(INDEX(tb_pcm_ativos[descricao_ativo],MATCH(B12,tb_pcm_ativos[tag],0)),"fora do cadastro"))</f>
        <v/>
      </c>
      <c r="D12" s="75" t="n"/>
      <c r="E12" s="76" t="n"/>
      <c r="F12" s="77" t="n"/>
      <c r="G12" s="77" t="n"/>
      <c r="H12" s="77" t="n"/>
      <c r="I12" s="77" t="n"/>
      <c r="J12" s="77" t="n"/>
      <c r="K12" s="77" t="n"/>
      <c r="L12" s="77" t="n"/>
      <c r="M12" s="89" t="n"/>
      <c r="N12" s="77" t="n"/>
      <c r="O12" s="77" t="n"/>
      <c r="P12" s="77" t="n"/>
      <c r="Q12" s="77" t="n"/>
      <c r="R12" s="77" t="n"/>
      <c r="S12" s="77" t="n"/>
      <c r="T12" s="89" t="n"/>
      <c r="U12" s="77" t="n"/>
      <c r="V12" s="77" t="n"/>
      <c r="W12" s="77" t="n"/>
      <c r="X12" s="77" t="n"/>
      <c r="Y12" s="77" t="n"/>
      <c r="Z12" s="77" t="n"/>
      <c r="AA12" s="89" t="n"/>
      <c r="AB12" s="77" t="n"/>
      <c r="AC12" s="77" t="n"/>
      <c r="AD12" s="77" t="n"/>
      <c r="AE12" s="77" t="n"/>
      <c r="AF12" s="77" t="n"/>
      <c r="AG12" s="77" t="n"/>
      <c r="AH12" s="89" t="n"/>
      <c r="AI12" s="77" t="n"/>
      <c r="AJ12" s="77" t="n"/>
      <c r="AK12" s="90">
        <f>IF(COUNTA($F12:$AJ12)=0,"",COUNTIF($F12:$AJ12,"●")+COUNTIF($F12:$AJ12,"✔")+COUNTIF($F12:$AJ12,"R"))</f>
        <v/>
      </c>
      <c r="AL12" s="78">
        <f>IF(AK12="","",COUNTIF($F12:$AJ12,"✔"))</f>
        <v/>
      </c>
      <c r="AM12" s="79">
        <f>IF(N(AK12)=0,"",AL12/AK12)</f>
        <v/>
      </c>
      <c r="AN12" s="80">
        <f>IF(N(AK12)=0,"",IF(AL12=AK12,"Concluída",IF(COUNTIF($F12:$AJ12,"R")&gt;0,"Reprogramada",IF(AL12&gt;0,"Em andamento","Planejada"))))</f>
        <v/>
      </c>
    </row>
    <row r="13" ht="19" customHeight="1">
      <c r="A13" s="72" t="n">
        <v>4</v>
      </c>
      <c r="B13" s="73" t="n"/>
      <c r="C13" s="74">
        <f>IF(B13="","",IFERROR(INDEX(tb_pcm_ativos[descricao_ativo],MATCH(B13,tb_pcm_ativos[tag],0)),"fora do cadastro"))</f>
        <v/>
      </c>
      <c r="D13" s="75" t="n"/>
      <c r="E13" s="76" t="n"/>
      <c r="F13" s="77" t="n"/>
      <c r="G13" s="77" t="n"/>
      <c r="H13" s="77" t="n"/>
      <c r="I13" s="77" t="n"/>
      <c r="J13" s="77" t="n"/>
      <c r="K13" s="77" t="n"/>
      <c r="L13" s="77" t="n"/>
      <c r="M13" s="89" t="n"/>
      <c r="N13" s="77" t="n"/>
      <c r="O13" s="77" t="n"/>
      <c r="P13" s="77" t="n"/>
      <c r="Q13" s="77" t="n"/>
      <c r="R13" s="77" t="n"/>
      <c r="S13" s="77" t="n"/>
      <c r="T13" s="89" t="n"/>
      <c r="U13" s="77" t="n"/>
      <c r="V13" s="77" t="n"/>
      <c r="W13" s="77" t="n"/>
      <c r="X13" s="77" t="n"/>
      <c r="Y13" s="77" t="n"/>
      <c r="Z13" s="77" t="n"/>
      <c r="AA13" s="89" t="n"/>
      <c r="AB13" s="77" t="n"/>
      <c r="AC13" s="77" t="n"/>
      <c r="AD13" s="77" t="n"/>
      <c r="AE13" s="77" t="n"/>
      <c r="AF13" s="77" t="n"/>
      <c r="AG13" s="77" t="n"/>
      <c r="AH13" s="89" t="n"/>
      <c r="AI13" s="77" t="n"/>
      <c r="AJ13" s="77" t="n"/>
      <c r="AK13" s="90">
        <f>IF(COUNTA($F13:$AJ13)=0,"",COUNTIF($F13:$AJ13,"●")+COUNTIF($F13:$AJ13,"✔")+COUNTIF($F13:$AJ13,"R"))</f>
        <v/>
      </c>
      <c r="AL13" s="78">
        <f>IF(AK13="","",COUNTIF($F13:$AJ13,"✔"))</f>
        <v/>
      </c>
      <c r="AM13" s="79">
        <f>IF(N(AK13)=0,"",AL13/AK13)</f>
        <v/>
      </c>
      <c r="AN13" s="80">
        <f>IF(N(AK13)=0,"",IF(AL13=AK13,"Concluída",IF(COUNTIF($F13:$AJ13,"R")&gt;0,"Reprogramada",IF(AL13&gt;0,"Em andamento","Planejada"))))</f>
        <v/>
      </c>
    </row>
    <row r="14" ht="19" customHeight="1">
      <c r="A14" s="72" t="n">
        <v>5</v>
      </c>
      <c r="B14" s="73" t="n"/>
      <c r="C14" s="74">
        <f>IF(B14="","",IFERROR(INDEX(tb_pcm_ativos[descricao_ativo],MATCH(B14,tb_pcm_ativos[tag],0)),"fora do cadastro"))</f>
        <v/>
      </c>
      <c r="D14" s="75" t="n"/>
      <c r="E14" s="76" t="n"/>
      <c r="F14" s="77" t="n"/>
      <c r="G14" s="77" t="n"/>
      <c r="H14" s="77" t="n"/>
      <c r="I14" s="77" t="n"/>
      <c r="J14" s="77" t="n"/>
      <c r="K14" s="77" t="n"/>
      <c r="L14" s="77" t="n"/>
      <c r="M14" s="89" t="n"/>
      <c r="N14" s="77" t="n"/>
      <c r="O14" s="77" t="n"/>
      <c r="P14" s="77" t="n"/>
      <c r="Q14" s="77" t="n"/>
      <c r="R14" s="77" t="n"/>
      <c r="S14" s="77" t="n"/>
      <c r="T14" s="89" t="n"/>
      <c r="U14" s="77" t="n"/>
      <c r="V14" s="77" t="n"/>
      <c r="W14" s="77" t="n"/>
      <c r="X14" s="77" t="n"/>
      <c r="Y14" s="77" t="n"/>
      <c r="Z14" s="77" t="n"/>
      <c r="AA14" s="89" t="n"/>
      <c r="AB14" s="77" t="n"/>
      <c r="AC14" s="77" t="n"/>
      <c r="AD14" s="77" t="n"/>
      <c r="AE14" s="77" t="n"/>
      <c r="AF14" s="77" t="n"/>
      <c r="AG14" s="77" t="n"/>
      <c r="AH14" s="89" t="n"/>
      <c r="AI14" s="77" t="n"/>
      <c r="AJ14" s="77" t="n"/>
      <c r="AK14" s="90">
        <f>IF(COUNTA($F14:$AJ14)=0,"",COUNTIF($F14:$AJ14,"●")+COUNTIF($F14:$AJ14,"✔")+COUNTIF($F14:$AJ14,"R"))</f>
        <v/>
      </c>
      <c r="AL14" s="78">
        <f>IF(AK14="","",COUNTIF($F14:$AJ14,"✔"))</f>
        <v/>
      </c>
      <c r="AM14" s="79">
        <f>IF(N(AK14)=0,"",AL14/AK14)</f>
        <v/>
      </c>
      <c r="AN14" s="80">
        <f>IF(N(AK14)=0,"",IF(AL14=AK14,"Concluída",IF(COUNTIF($F14:$AJ14,"R")&gt;0,"Reprogramada",IF(AL14&gt;0,"Em andamento","Planejada"))))</f>
        <v/>
      </c>
    </row>
    <row r="15" ht="19" customHeight="1">
      <c r="A15" s="72" t="n">
        <v>6</v>
      </c>
      <c r="B15" s="73" t="n"/>
      <c r="C15" s="74">
        <f>IF(B15="","",IFERROR(INDEX(tb_pcm_ativos[descricao_ativo],MATCH(B15,tb_pcm_ativos[tag],0)),"fora do cadastro"))</f>
        <v/>
      </c>
      <c r="D15" s="75" t="n"/>
      <c r="E15" s="76" t="n"/>
      <c r="F15" s="77" t="n"/>
      <c r="G15" s="77" t="n"/>
      <c r="H15" s="77" t="n"/>
      <c r="I15" s="77" t="n"/>
      <c r="J15" s="77" t="n"/>
      <c r="K15" s="77" t="n"/>
      <c r="L15" s="77" t="n"/>
      <c r="M15" s="89" t="n"/>
      <c r="N15" s="77" t="n"/>
      <c r="O15" s="77" t="n"/>
      <c r="P15" s="77" t="n"/>
      <c r="Q15" s="77" t="n"/>
      <c r="R15" s="77" t="n"/>
      <c r="S15" s="77" t="n"/>
      <c r="T15" s="89" t="n"/>
      <c r="U15" s="77" t="n"/>
      <c r="V15" s="77" t="n"/>
      <c r="W15" s="77" t="n"/>
      <c r="X15" s="77" t="n"/>
      <c r="Y15" s="77" t="n"/>
      <c r="Z15" s="77" t="n"/>
      <c r="AA15" s="89" t="n"/>
      <c r="AB15" s="77" t="n"/>
      <c r="AC15" s="77" t="n"/>
      <c r="AD15" s="77" t="n"/>
      <c r="AE15" s="77" t="n"/>
      <c r="AF15" s="77" t="n"/>
      <c r="AG15" s="77" t="n"/>
      <c r="AH15" s="89" t="n"/>
      <c r="AI15" s="77" t="n"/>
      <c r="AJ15" s="77" t="n"/>
      <c r="AK15" s="90">
        <f>IF(COUNTA($F15:$AJ15)=0,"",COUNTIF($F15:$AJ15,"●")+COUNTIF($F15:$AJ15,"✔")+COUNTIF($F15:$AJ15,"R"))</f>
        <v/>
      </c>
      <c r="AL15" s="78">
        <f>IF(AK15="","",COUNTIF($F15:$AJ15,"✔"))</f>
        <v/>
      </c>
      <c r="AM15" s="79">
        <f>IF(N(AK15)=0,"",AL15/AK15)</f>
        <v/>
      </c>
      <c r="AN15" s="80">
        <f>IF(N(AK15)=0,"",IF(AL15=AK15,"Concluída",IF(COUNTIF($F15:$AJ15,"R")&gt;0,"Reprogramada",IF(AL15&gt;0,"Em andamento","Planejada"))))</f>
        <v/>
      </c>
    </row>
    <row r="16" ht="19" customHeight="1">
      <c r="A16" s="72" t="n">
        <v>7</v>
      </c>
      <c r="B16" s="73" t="n"/>
      <c r="C16" s="74">
        <f>IF(B16="","",IFERROR(INDEX(tb_pcm_ativos[descricao_ativo],MATCH(B16,tb_pcm_ativos[tag],0)),"fora do cadastro"))</f>
        <v/>
      </c>
      <c r="D16" s="75" t="n"/>
      <c r="E16" s="76" t="n"/>
      <c r="F16" s="77" t="n"/>
      <c r="G16" s="77" t="n"/>
      <c r="H16" s="77" t="n"/>
      <c r="I16" s="77" t="n"/>
      <c r="J16" s="77" t="n"/>
      <c r="K16" s="77" t="n"/>
      <c r="L16" s="77" t="n"/>
      <c r="M16" s="89" t="n"/>
      <c r="N16" s="77" t="n"/>
      <c r="O16" s="77" t="n"/>
      <c r="P16" s="77" t="n"/>
      <c r="Q16" s="77" t="n"/>
      <c r="R16" s="77" t="n"/>
      <c r="S16" s="77" t="n"/>
      <c r="T16" s="89" t="n"/>
      <c r="U16" s="77" t="n"/>
      <c r="V16" s="77" t="n"/>
      <c r="W16" s="77" t="n"/>
      <c r="X16" s="77" t="n"/>
      <c r="Y16" s="77" t="n"/>
      <c r="Z16" s="77" t="n"/>
      <c r="AA16" s="89" t="n"/>
      <c r="AB16" s="77" t="n"/>
      <c r="AC16" s="77" t="n"/>
      <c r="AD16" s="77" t="n"/>
      <c r="AE16" s="77" t="n"/>
      <c r="AF16" s="77" t="n"/>
      <c r="AG16" s="77" t="n"/>
      <c r="AH16" s="89" t="n"/>
      <c r="AI16" s="77" t="n"/>
      <c r="AJ16" s="77" t="n"/>
      <c r="AK16" s="90">
        <f>IF(COUNTA($F16:$AJ16)=0,"",COUNTIF($F16:$AJ16,"●")+COUNTIF($F16:$AJ16,"✔")+COUNTIF($F16:$AJ16,"R"))</f>
        <v/>
      </c>
      <c r="AL16" s="78">
        <f>IF(AK16="","",COUNTIF($F16:$AJ16,"✔"))</f>
        <v/>
      </c>
      <c r="AM16" s="79">
        <f>IF(N(AK16)=0,"",AL16/AK16)</f>
        <v/>
      </c>
      <c r="AN16" s="80">
        <f>IF(N(AK16)=0,"",IF(AL16=AK16,"Concluída",IF(COUNTIF($F16:$AJ16,"R")&gt;0,"Reprogramada",IF(AL16&gt;0,"Em andamento","Planejada"))))</f>
        <v/>
      </c>
    </row>
    <row r="17" ht="19" customHeight="1">
      <c r="A17" s="72" t="n">
        <v>8</v>
      </c>
      <c r="B17" s="73" t="n"/>
      <c r="C17" s="74">
        <f>IF(B17="","",IFERROR(INDEX(tb_pcm_ativos[descricao_ativo],MATCH(B17,tb_pcm_ativos[tag],0)),"fora do cadastro"))</f>
        <v/>
      </c>
      <c r="D17" s="75" t="n"/>
      <c r="E17" s="76" t="n"/>
      <c r="F17" s="77" t="n"/>
      <c r="G17" s="77" t="n"/>
      <c r="H17" s="77" t="n"/>
      <c r="I17" s="77" t="n"/>
      <c r="J17" s="77" t="n"/>
      <c r="K17" s="77" t="n"/>
      <c r="L17" s="77" t="n"/>
      <c r="M17" s="89" t="n"/>
      <c r="N17" s="77" t="n"/>
      <c r="O17" s="77" t="n"/>
      <c r="P17" s="77" t="n"/>
      <c r="Q17" s="77" t="n"/>
      <c r="R17" s="77" t="n"/>
      <c r="S17" s="77" t="n"/>
      <c r="T17" s="89" t="n"/>
      <c r="U17" s="77" t="n"/>
      <c r="V17" s="77" t="n"/>
      <c r="W17" s="77" t="n"/>
      <c r="X17" s="77" t="n"/>
      <c r="Y17" s="77" t="n"/>
      <c r="Z17" s="77" t="n"/>
      <c r="AA17" s="89" t="n"/>
      <c r="AB17" s="77" t="n"/>
      <c r="AC17" s="77" t="n"/>
      <c r="AD17" s="77" t="n"/>
      <c r="AE17" s="77" t="n"/>
      <c r="AF17" s="77" t="n"/>
      <c r="AG17" s="77" t="n"/>
      <c r="AH17" s="89" t="n"/>
      <c r="AI17" s="77" t="n"/>
      <c r="AJ17" s="77" t="n"/>
      <c r="AK17" s="90">
        <f>IF(COUNTA($F17:$AJ17)=0,"",COUNTIF($F17:$AJ17,"●")+COUNTIF($F17:$AJ17,"✔")+COUNTIF($F17:$AJ17,"R"))</f>
        <v/>
      </c>
      <c r="AL17" s="78">
        <f>IF(AK17="","",COUNTIF($F17:$AJ17,"✔"))</f>
        <v/>
      </c>
      <c r="AM17" s="79">
        <f>IF(N(AK17)=0,"",AL17/AK17)</f>
        <v/>
      </c>
      <c r="AN17" s="80">
        <f>IF(N(AK17)=0,"",IF(AL17=AK17,"Concluída",IF(COUNTIF($F17:$AJ17,"R")&gt;0,"Reprogramada",IF(AL17&gt;0,"Em andamento","Planejada"))))</f>
        <v/>
      </c>
    </row>
    <row r="18" ht="19" customHeight="1">
      <c r="A18" s="72" t="n">
        <v>9</v>
      </c>
      <c r="B18" s="73" t="n"/>
      <c r="C18" s="74">
        <f>IF(B18="","",IFERROR(INDEX(tb_pcm_ativos[descricao_ativo],MATCH(B18,tb_pcm_ativos[tag],0)),"fora do cadastro"))</f>
        <v/>
      </c>
      <c r="D18" s="75" t="n"/>
      <c r="E18" s="76" t="n"/>
      <c r="F18" s="77" t="n"/>
      <c r="G18" s="77" t="n"/>
      <c r="H18" s="77" t="n"/>
      <c r="I18" s="77" t="n"/>
      <c r="J18" s="77" t="n"/>
      <c r="K18" s="77" t="n"/>
      <c r="L18" s="77" t="n"/>
      <c r="M18" s="89" t="n"/>
      <c r="N18" s="77" t="n"/>
      <c r="O18" s="77" t="n"/>
      <c r="P18" s="77" t="n"/>
      <c r="Q18" s="77" t="n"/>
      <c r="R18" s="77" t="n"/>
      <c r="S18" s="77" t="n"/>
      <c r="T18" s="89" t="n"/>
      <c r="U18" s="77" t="n"/>
      <c r="V18" s="77" t="n"/>
      <c r="W18" s="77" t="n"/>
      <c r="X18" s="77" t="n"/>
      <c r="Y18" s="77" t="n"/>
      <c r="Z18" s="77" t="n"/>
      <c r="AA18" s="89" t="n"/>
      <c r="AB18" s="77" t="n"/>
      <c r="AC18" s="77" t="n"/>
      <c r="AD18" s="77" t="n"/>
      <c r="AE18" s="77" t="n"/>
      <c r="AF18" s="77" t="n"/>
      <c r="AG18" s="77" t="n"/>
      <c r="AH18" s="89" t="n"/>
      <c r="AI18" s="77" t="n"/>
      <c r="AJ18" s="77" t="n"/>
      <c r="AK18" s="90">
        <f>IF(COUNTA($F18:$AJ18)=0,"",COUNTIF($F18:$AJ18,"●")+COUNTIF($F18:$AJ18,"✔")+COUNTIF($F18:$AJ18,"R"))</f>
        <v/>
      </c>
      <c r="AL18" s="78">
        <f>IF(AK18="","",COUNTIF($F18:$AJ18,"✔"))</f>
        <v/>
      </c>
      <c r="AM18" s="79">
        <f>IF(N(AK18)=0,"",AL18/AK18)</f>
        <v/>
      </c>
      <c r="AN18" s="80">
        <f>IF(N(AK18)=0,"",IF(AL18=AK18,"Concluída",IF(COUNTIF($F18:$AJ18,"R")&gt;0,"Reprogramada",IF(AL18&gt;0,"Em andamento","Planejada"))))</f>
        <v/>
      </c>
    </row>
    <row r="19" ht="19" customHeight="1">
      <c r="A19" s="72" t="n">
        <v>10</v>
      </c>
      <c r="B19" s="73" t="n"/>
      <c r="C19" s="74">
        <f>IF(B19="","",IFERROR(INDEX(tb_pcm_ativos[descricao_ativo],MATCH(B19,tb_pcm_ativos[tag],0)),"fora do cadastro"))</f>
        <v/>
      </c>
      <c r="D19" s="75" t="n"/>
      <c r="E19" s="76" t="n"/>
      <c r="F19" s="77" t="n"/>
      <c r="G19" s="77" t="n"/>
      <c r="H19" s="77" t="n"/>
      <c r="I19" s="77" t="n"/>
      <c r="J19" s="77" t="n"/>
      <c r="K19" s="77" t="n"/>
      <c r="L19" s="77" t="n"/>
      <c r="M19" s="89" t="n"/>
      <c r="N19" s="77" t="n"/>
      <c r="O19" s="77" t="n"/>
      <c r="P19" s="77" t="n"/>
      <c r="Q19" s="77" t="n"/>
      <c r="R19" s="77" t="n"/>
      <c r="S19" s="77" t="n"/>
      <c r="T19" s="89" t="n"/>
      <c r="U19" s="77" t="n"/>
      <c r="V19" s="77" t="n"/>
      <c r="W19" s="77" t="n"/>
      <c r="X19" s="77" t="n"/>
      <c r="Y19" s="77" t="n"/>
      <c r="Z19" s="77" t="n"/>
      <c r="AA19" s="89" t="n"/>
      <c r="AB19" s="77" t="n"/>
      <c r="AC19" s="77" t="n"/>
      <c r="AD19" s="77" t="n"/>
      <c r="AE19" s="77" t="n"/>
      <c r="AF19" s="77" t="n"/>
      <c r="AG19" s="77" t="n"/>
      <c r="AH19" s="89" t="n"/>
      <c r="AI19" s="77" t="n"/>
      <c r="AJ19" s="77" t="n"/>
      <c r="AK19" s="90">
        <f>IF(COUNTA($F19:$AJ19)=0,"",COUNTIF($F19:$AJ19,"●")+COUNTIF($F19:$AJ19,"✔")+COUNTIF($F19:$AJ19,"R"))</f>
        <v/>
      </c>
      <c r="AL19" s="78">
        <f>IF(AK19="","",COUNTIF($F19:$AJ19,"✔"))</f>
        <v/>
      </c>
      <c r="AM19" s="79">
        <f>IF(N(AK19)=0,"",AL19/AK19)</f>
        <v/>
      </c>
      <c r="AN19" s="80">
        <f>IF(N(AK19)=0,"",IF(AL19=AK19,"Concluída",IF(COUNTIF($F19:$AJ19,"R")&gt;0,"Reprogramada",IF(AL19&gt;0,"Em andamento","Planejada"))))</f>
        <v/>
      </c>
    </row>
    <row r="20" ht="19" customHeight="1">
      <c r="A20" s="72" t="n">
        <v>11</v>
      </c>
      <c r="B20" s="73" t="n"/>
      <c r="C20" s="74">
        <f>IF(B20="","",IFERROR(INDEX(tb_pcm_ativos[descricao_ativo],MATCH(B20,tb_pcm_ativos[tag],0)),"fora do cadastro"))</f>
        <v/>
      </c>
      <c r="D20" s="75" t="n"/>
      <c r="E20" s="76" t="n"/>
      <c r="F20" s="77" t="n"/>
      <c r="G20" s="77" t="n"/>
      <c r="H20" s="77" t="n"/>
      <c r="I20" s="77" t="n"/>
      <c r="J20" s="77" t="n"/>
      <c r="K20" s="77" t="n"/>
      <c r="L20" s="77" t="n"/>
      <c r="M20" s="89" t="n"/>
      <c r="N20" s="77" t="n"/>
      <c r="O20" s="77" t="n"/>
      <c r="P20" s="77" t="n"/>
      <c r="Q20" s="77" t="n"/>
      <c r="R20" s="77" t="n"/>
      <c r="S20" s="77" t="n"/>
      <c r="T20" s="89" t="n"/>
      <c r="U20" s="77" t="n"/>
      <c r="V20" s="77" t="n"/>
      <c r="W20" s="77" t="n"/>
      <c r="X20" s="77" t="n"/>
      <c r="Y20" s="77" t="n"/>
      <c r="Z20" s="77" t="n"/>
      <c r="AA20" s="89" t="n"/>
      <c r="AB20" s="77" t="n"/>
      <c r="AC20" s="77" t="n"/>
      <c r="AD20" s="77" t="n"/>
      <c r="AE20" s="77" t="n"/>
      <c r="AF20" s="77" t="n"/>
      <c r="AG20" s="77" t="n"/>
      <c r="AH20" s="89" t="n"/>
      <c r="AI20" s="77" t="n"/>
      <c r="AJ20" s="77" t="n"/>
      <c r="AK20" s="90">
        <f>IF(COUNTA($F20:$AJ20)=0,"",COUNTIF($F20:$AJ20,"●")+COUNTIF($F20:$AJ20,"✔")+COUNTIF($F20:$AJ20,"R"))</f>
        <v/>
      </c>
      <c r="AL20" s="78">
        <f>IF(AK20="","",COUNTIF($F20:$AJ20,"✔"))</f>
        <v/>
      </c>
      <c r="AM20" s="79">
        <f>IF(N(AK20)=0,"",AL20/AK20)</f>
        <v/>
      </c>
      <c r="AN20" s="80">
        <f>IF(N(AK20)=0,"",IF(AL20=AK20,"Concluída",IF(COUNTIF($F20:$AJ20,"R")&gt;0,"Reprogramada",IF(AL20&gt;0,"Em andamento","Planejada"))))</f>
        <v/>
      </c>
    </row>
    <row r="21" ht="19" customHeight="1">
      <c r="A21" s="72" t="n">
        <v>12</v>
      </c>
      <c r="B21" s="73" t="n"/>
      <c r="C21" s="74">
        <f>IF(B21="","",IFERROR(INDEX(tb_pcm_ativos[descricao_ativo],MATCH(B21,tb_pcm_ativos[tag],0)),"fora do cadastro"))</f>
        <v/>
      </c>
      <c r="D21" s="75" t="n"/>
      <c r="E21" s="76" t="n"/>
      <c r="F21" s="77" t="n"/>
      <c r="G21" s="77" t="n"/>
      <c r="H21" s="77" t="n"/>
      <c r="I21" s="77" t="n"/>
      <c r="J21" s="77" t="n"/>
      <c r="K21" s="77" t="n"/>
      <c r="L21" s="77" t="n"/>
      <c r="M21" s="89" t="n"/>
      <c r="N21" s="77" t="n"/>
      <c r="O21" s="77" t="n"/>
      <c r="P21" s="77" t="n"/>
      <c r="Q21" s="77" t="n"/>
      <c r="R21" s="77" t="n"/>
      <c r="S21" s="77" t="n"/>
      <c r="T21" s="89" t="n"/>
      <c r="U21" s="77" t="n"/>
      <c r="V21" s="77" t="n"/>
      <c r="W21" s="77" t="n"/>
      <c r="X21" s="77" t="n"/>
      <c r="Y21" s="77" t="n"/>
      <c r="Z21" s="77" t="n"/>
      <c r="AA21" s="89" t="n"/>
      <c r="AB21" s="77" t="n"/>
      <c r="AC21" s="77" t="n"/>
      <c r="AD21" s="77" t="n"/>
      <c r="AE21" s="77" t="n"/>
      <c r="AF21" s="77" t="n"/>
      <c r="AG21" s="77" t="n"/>
      <c r="AH21" s="89" t="n"/>
      <c r="AI21" s="77" t="n"/>
      <c r="AJ21" s="77" t="n"/>
      <c r="AK21" s="90">
        <f>IF(COUNTA($F21:$AJ21)=0,"",COUNTIF($F21:$AJ21,"●")+COUNTIF($F21:$AJ21,"✔")+COUNTIF($F21:$AJ21,"R"))</f>
        <v/>
      </c>
      <c r="AL21" s="78">
        <f>IF(AK21="","",COUNTIF($F21:$AJ21,"✔"))</f>
        <v/>
      </c>
      <c r="AM21" s="79">
        <f>IF(N(AK21)=0,"",AL21/AK21)</f>
        <v/>
      </c>
      <c r="AN21" s="80">
        <f>IF(N(AK21)=0,"",IF(AL21=AK21,"Concluída",IF(COUNTIF($F21:$AJ21,"R")&gt;0,"Reprogramada",IF(AL21&gt;0,"Em andamento","Planejada"))))</f>
        <v/>
      </c>
    </row>
    <row r="22" ht="19" customHeight="1">
      <c r="A22" s="72" t="n">
        <v>13</v>
      </c>
      <c r="B22" s="73" t="n"/>
      <c r="C22" s="74">
        <f>IF(B22="","",IFERROR(INDEX(tb_pcm_ativos[descricao_ativo],MATCH(B22,tb_pcm_ativos[tag],0)),"fora do cadastro"))</f>
        <v/>
      </c>
      <c r="D22" s="75" t="n"/>
      <c r="E22" s="76" t="n"/>
      <c r="F22" s="77" t="n"/>
      <c r="G22" s="77" t="n"/>
      <c r="H22" s="77" t="n"/>
      <c r="I22" s="77" t="n"/>
      <c r="J22" s="77" t="n"/>
      <c r="K22" s="77" t="n"/>
      <c r="L22" s="77" t="n"/>
      <c r="M22" s="89" t="n"/>
      <c r="N22" s="77" t="n"/>
      <c r="O22" s="77" t="n"/>
      <c r="P22" s="77" t="n"/>
      <c r="Q22" s="77" t="n"/>
      <c r="R22" s="77" t="n"/>
      <c r="S22" s="77" t="n"/>
      <c r="T22" s="89" t="n"/>
      <c r="U22" s="77" t="n"/>
      <c r="V22" s="77" t="n"/>
      <c r="W22" s="77" t="n"/>
      <c r="X22" s="77" t="n"/>
      <c r="Y22" s="77" t="n"/>
      <c r="Z22" s="77" t="n"/>
      <c r="AA22" s="89" t="n"/>
      <c r="AB22" s="77" t="n"/>
      <c r="AC22" s="77" t="n"/>
      <c r="AD22" s="77" t="n"/>
      <c r="AE22" s="77" t="n"/>
      <c r="AF22" s="77" t="n"/>
      <c r="AG22" s="77" t="n"/>
      <c r="AH22" s="89" t="n"/>
      <c r="AI22" s="77" t="n"/>
      <c r="AJ22" s="77" t="n"/>
      <c r="AK22" s="90">
        <f>IF(COUNTA($F22:$AJ22)=0,"",COUNTIF($F22:$AJ22,"●")+COUNTIF($F22:$AJ22,"✔")+COUNTIF($F22:$AJ22,"R"))</f>
        <v/>
      </c>
      <c r="AL22" s="78">
        <f>IF(AK22="","",COUNTIF($F22:$AJ22,"✔"))</f>
        <v/>
      </c>
      <c r="AM22" s="79">
        <f>IF(N(AK22)=0,"",AL22/AK22)</f>
        <v/>
      </c>
      <c r="AN22" s="80">
        <f>IF(N(AK22)=0,"",IF(AL22=AK22,"Concluída",IF(COUNTIF($F22:$AJ22,"R")&gt;0,"Reprogramada",IF(AL22&gt;0,"Em andamento","Planejada"))))</f>
        <v/>
      </c>
    </row>
    <row r="23" ht="19" customHeight="1">
      <c r="A23" s="72" t="n">
        <v>14</v>
      </c>
      <c r="B23" s="73" t="n"/>
      <c r="C23" s="74">
        <f>IF(B23="","",IFERROR(INDEX(tb_pcm_ativos[descricao_ativo],MATCH(B23,tb_pcm_ativos[tag],0)),"fora do cadastro"))</f>
        <v/>
      </c>
      <c r="D23" s="75" t="n"/>
      <c r="E23" s="76" t="n"/>
      <c r="F23" s="77" t="n"/>
      <c r="G23" s="77" t="n"/>
      <c r="H23" s="77" t="n"/>
      <c r="I23" s="77" t="n"/>
      <c r="J23" s="77" t="n"/>
      <c r="K23" s="77" t="n"/>
      <c r="L23" s="77" t="n"/>
      <c r="M23" s="89" t="n"/>
      <c r="N23" s="77" t="n"/>
      <c r="O23" s="77" t="n"/>
      <c r="P23" s="77" t="n"/>
      <c r="Q23" s="77" t="n"/>
      <c r="R23" s="77" t="n"/>
      <c r="S23" s="77" t="n"/>
      <c r="T23" s="89" t="n"/>
      <c r="U23" s="77" t="n"/>
      <c r="V23" s="77" t="n"/>
      <c r="W23" s="77" t="n"/>
      <c r="X23" s="77" t="n"/>
      <c r="Y23" s="77" t="n"/>
      <c r="Z23" s="77" t="n"/>
      <c r="AA23" s="89" t="n"/>
      <c r="AB23" s="77" t="n"/>
      <c r="AC23" s="77" t="n"/>
      <c r="AD23" s="77" t="n"/>
      <c r="AE23" s="77" t="n"/>
      <c r="AF23" s="77" t="n"/>
      <c r="AG23" s="77" t="n"/>
      <c r="AH23" s="89" t="n"/>
      <c r="AI23" s="77" t="n"/>
      <c r="AJ23" s="77" t="n"/>
      <c r="AK23" s="90">
        <f>IF(COUNTA($F23:$AJ23)=0,"",COUNTIF($F23:$AJ23,"●")+COUNTIF($F23:$AJ23,"✔")+COUNTIF($F23:$AJ23,"R"))</f>
        <v/>
      </c>
      <c r="AL23" s="78">
        <f>IF(AK23="","",COUNTIF($F23:$AJ23,"✔"))</f>
        <v/>
      </c>
      <c r="AM23" s="79">
        <f>IF(N(AK23)=0,"",AL23/AK23)</f>
        <v/>
      </c>
      <c r="AN23" s="80">
        <f>IF(N(AK23)=0,"",IF(AL23=AK23,"Concluída",IF(COUNTIF($F23:$AJ23,"R")&gt;0,"Reprogramada",IF(AL23&gt;0,"Em andamento","Planejada"))))</f>
        <v/>
      </c>
    </row>
    <row r="24" ht="19" customHeight="1">
      <c r="A24" s="72" t="n">
        <v>15</v>
      </c>
      <c r="B24" s="73" t="n"/>
      <c r="C24" s="74">
        <f>IF(B24="","",IFERROR(INDEX(tb_pcm_ativos[descricao_ativo],MATCH(B24,tb_pcm_ativos[tag],0)),"fora do cadastro"))</f>
        <v/>
      </c>
      <c r="D24" s="75" t="n"/>
      <c r="E24" s="76" t="n"/>
      <c r="F24" s="77" t="n"/>
      <c r="G24" s="77" t="n"/>
      <c r="H24" s="77" t="n"/>
      <c r="I24" s="77" t="n"/>
      <c r="J24" s="77" t="n"/>
      <c r="K24" s="77" t="n"/>
      <c r="L24" s="77" t="n"/>
      <c r="M24" s="89" t="n"/>
      <c r="N24" s="77" t="n"/>
      <c r="O24" s="77" t="n"/>
      <c r="P24" s="77" t="n"/>
      <c r="Q24" s="77" t="n"/>
      <c r="R24" s="77" t="n"/>
      <c r="S24" s="77" t="n"/>
      <c r="T24" s="89" t="n"/>
      <c r="U24" s="77" t="n"/>
      <c r="V24" s="77" t="n"/>
      <c r="W24" s="77" t="n"/>
      <c r="X24" s="77" t="n"/>
      <c r="Y24" s="77" t="n"/>
      <c r="Z24" s="77" t="n"/>
      <c r="AA24" s="89" t="n"/>
      <c r="AB24" s="77" t="n"/>
      <c r="AC24" s="77" t="n"/>
      <c r="AD24" s="77" t="n"/>
      <c r="AE24" s="77" t="n"/>
      <c r="AF24" s="77" t="n"/>
      <c r="AG24" s="77" t="n"/>
      <c r="AH24" s="89" t="n"/>
      <c r="AI24" s="77" t="n"/>
      <c r="AJ24" s="77" t="n"/>
      <c r="AK24" s="90">
        <f>IF(COUNTA($F24:$AJ24)=0,"",COUNTIF($F24:$AJ24,"●")+COUNTIF($F24:$AJ24,"✔")+COUNTIF($F24:$AJ24,"R"))</f>
        <v/>
      </c>
      <c r="AL24" s="78">
        <f>IF(AK24="","",COUNTIF($F24:$AJ24,"✔"))</f>
        <v/>
      </c>
      <c r="AM24" s="79">
        <f>IF(N(AK24)=0,"",AL24/AK24)</f>
        <v/>
      </c>
      <c r="AN24" s="80">
        <f>IF(N(AK24)=0,"",IF(AL24=AK24,"Concluída",IF(COUNTIF($F24:$AJ24,"R")&gt;0,"Reprogramada",IF(AL24&gt;0,"Em andamento","Planejada"))))</f>
        <v/>
      </c>
    </row>
    <row r="25" ht="19" customHeight="1">
      <c r="A25" s="72" t="n">
        <v>16</v>
      </c>
      <c r="B25" s="73" t="n"/>
      <c r="C25" s="74">
        <f>IF(B25="","",IFERROR(INDEX(tb_pcm_ativos[descricao_ativo],MATCH(B25,tb_pcm_ativos[tag],0)),"fora do cadastro"))</f>
        <v/>
      </c>
      <c r="D25" s="75" t="n"/>
      <c r="E25" s="76" t="n"/>
      <c r="F25" s="77" t="n"/>
      <c r="G25" s="77" t="n"/>
      <c r="H25" s="77" t="n"/>
      <c r="I25" s="77" t="n"/>
      <c r="J25" s="77" t="n"/>
      <c r="K25" s="77" t="n"/>
      <c r="L25" s="77" t="n"/>
      <c r="M25" s="89" t="n"/>
      <c r="N25" s="77" t="n"/>
      <c r="O25" s="77" t="n"/>
      <c r="P25" s="77" t="n"/>
      <c r="Q25" s="77" t="n"/>
      <c r="R25" s="77" t="n"/>
      <c r="S25" s="77" t="n"/>
      <c r="T25" s="89" t="n"/>
      <c r="U25" s="77" t="n"/>
      <c r="V25" s="77" t="n"/>
      <c r="W25" s="77" t="n"/>
      <c r="X25" s="77" t="n"/>
      <c r="Y25" s="77" t="n"/>
      <c r="Z25" s="77" t="n"/>
      <c r="AA25" s="89" t="n"/>
      <c r="AB25" s="77" t="n"/>
      <c r="AC25" s="77" t="n"/>
      <c r="AD25" s="77" t="n"/>
      <c r="AE25" s="77" t="n"/>
      <c r="AF25" s="77" t="n"/>
      <c r="AG25" s="77" t="n"/>
      <c r="AH25" s="89" t="n"/>
      <c r="AI25" s="77" t="n"/>
      <c r="AJ25" s="77" t="n"/>
      <c r="AK25" s="90">
        <f>IF(COUNTA($F25:$AJ25)=0,"",COUNTIF($F25:$AJ25,"●")+COUNTIF($F25:$AJ25,"✔")+COUNTIF($F25:$AJ25,"R"))</f>
        <v/>
      </c>
      <c r="AL25" s="78">
        <f>IF(AK25="","",COUNTIF($F25:$AJ25,"✔"))</f>
        <v/>
      </c>
      <c r="AM25" s="79">
        <f>IF(N(AK25)=0,"",AL25/AK25)</f>
        <v/>
      </c>
      <c r="AN25" s="80">
        <f>IF(N(AK25)=0,"",IF(AL25=AK25,"Concluída",IF(COUNTIF($F25:$AJ25,"R")&gt;0,"Reprogramada",IF(AL25&gt;0,"Em andamento","Planejada"))))</f>
        <v/>
      </c>
    </row>
    <row r="26" ht="19" customHeight="1">
      <c r="A26" s="72" t="n">
        <v>17</v>
      </c>
      <c r="B26" s="73" t="n"/>
      <c r="C26" s="74">
        <f>IF(B26="","",IFERROR(INDEX(tb_pcm_ativos[descricao_ativo],MATCH(B26,tb_pcm_ativos[tag],0)),"fora do cadastro"))</f>
        <v/>
      </c>
      <c r="D26" s="75" t="n"/>
      <c r="E26" s="76" t="n"/>
      <c r="F26" s="77" t="n"/>
      <c r="G26" s="77" t="n"/>
      <c r="H26" s="77" t="n"/>
      <c r="I26" s="77" t="n"/>
      <c r="J26" s="77" t="n"/>
      <c r="K26" s="77" t="n"/>
      <c r="L26" s="77" t="n"/>
      <c r="M26" s="89" t="n"/>
      <c r="N26" s="77" t="n"/>
      <c r="O26" s="77" t="n"/>
      <c r="P26" s="77" t="n"/>
      <c r="Q26" s="77" t="n"/>
      <c r="R26" s="77" t="n"/>
      <c r="S26" s="77" t="n"/>
      <c r="T26" s="89" t="n"/>
      <c r="U26" s="77" t="n"/>
      <c r="V26" s="77" t="n"/>
      <c r="W26" s="77" t="n"/>
      <c r="X26" s="77" t="n"/>
      <c r="Y26" s="77" t="n"/>
      <c r="Z26" s="77" t="n"/>
      <c r="AA26" s="89" t="n"/>
      <c r="AB26" s="77" t="n"/>
      <c r="AC26" s="77" t="n"/>
      <c r="AD26" s="77" t="n"/>
      <c r="AE26" s="77" t="n"/>
      <c r="AF26" s="77" t="n"/>
      <c r="AG26" s="77" t="n"/>
      <c r="AH26" s="89" t="n"/>
      <c r="AI26" s="77" t="n"/>
      <c r="AJ26" s="77" t="n"/>
      <c r="AK26" s="90">
        <f>IF(COUNTA($F26:$AJ26)=0,"",COUNTIF($F26:$AJ26,"●")+COUNTIF($F26:$AJ26,"✔")+COUNTIF($F26:$AJ26,"R"))</f>
        <v/>
      </c>
      <c r="AL26" s="78">
        <f>IF(AK26="","",COUNTIF($F26:$AJ26,"✔"))</f>
        <v/>
      </c>
      <c r="AM26" s="79">
        <f>IF(N(AK26)=0,"",AL26/AK26)</f>
        <v/>
      </c>
      <c r="AN26" s="80">
        <f>IF(N(AK26)=0,"",IF(AL26=AK26,"Concluída",IF(COUNTIF($F26:$AJ26,"R")&gt;0,"Reprogramada",IF(AL26&gt;0,"Em andamento","Planejada"))))</f>
        <v/>
      </c>
    </row>
    <row r="27" ht="19" customHeight="1">
      <c r="A27" s="72" t="n">
        <v>18</v>
      </c>
      <c r="B27" s="73" t="n"/>
      <c r="C27" s="74">
        <f>IF(B27="","",IFERROR(INDEX(tb_pcm_ativos[descricao_ativo],MATCH(B27,tb_pcm_ativos[tag],0)),"fora do cadastro"))</f>
        <v/>
      </c>
      <c r="D27" s="75" t="n"/>
      <c r="E27" s="76" t="n"/>
      <c r="F27" s="77" t="n"/>
      <c r="G27" s="77" t="n"/>
      <c r="H27" s="77" t="n"/>
      <c r="I27" s="77" t="n"/>
      <c r="J27" s="77" t="n"/>
      <c r="K27" s="77" t="n"/>
      <c r="L27" s="77" t="n"/>
      <c r="M27" s="89" t="n"/>
      <c r="N27" s="77" t="n"/>
      <c r="O27" s="77" t="n"/>
      <c r="P27" s="77" t="n"/>
      <c r="Q27" s="77" t="n"/>
      <c r="R27" s="77" t="n"/>
      <c r="S27" s="77" t="n"/>
      <c r="T27" s="89" t="n"/>
      <c r="U27" s="77" t="n"/>
      <c r="V27" s="77" t="n"/>
      <c r="W27" s="77" t="n"/>
      <c r="X27" s="77" t="n"/>
      <c r="Y27" s="77" t="n"/>
      <c r="Z27" s="77" t="n"/>
      <c r="AA27" s="89" t="n"/>
      <c r="AB27" s="77" t="n"/>
      <c r="AC27" s="77" t="n"/>
      <c r="AD27" s="77" t="n"/>
      <c r="AE27" s="77" t="n"/>
      <c r="AF27" s="77" t="n"/>
      <c r="AG27" s="77" t="n"/>
      <c r="AH27" s="89" t="n"/>
      <c r="AI27" s="77" t="n"/>
      <c r="AJ27" s="77" t="n"/>
      <c r="AK27" s="90">
        <f>IF(COUNTA($F27:$AJ27)=0,"",COUNTIF($F27:$AJ27,"●")+COUNTIF($F27:$AJ27,"✔")+COUNTIF($F27:$AJ27,"R"))</f>
        <v/>
      </c>
      <c r="AL27" s="78">
        <f>IF(AK27="","",COUNTIF($F27:$AJ27,"✔"))</f>
        <v/>
      </c>
      <c r="AM27" s="79">
        <f>IF(N(AK27)=0,"",AL27/AK27)</f>
        <v/>
      </c>
      <c r="AN27" s="80">
        <f>IF(N(AK27)=0,"",IF(AL27=AK27,"Concluída",IF(COUNTIF($F27:$AJ27,"R")&gt;0,"Reprogramada",IF(AL27&gt;0,"Em andamento","Planejada"))))</f>
        <v/>
      </c>
    </row>
    <row r="28" ht="19" customHeight="1">
      <c r="A28" s="72" t="n">
        <v>19</v>
      </c>
      <c r="B28" s="73" t="n"/>
      <c r="C28" s="74">
        <f>IF(B28="","",IFERROR(INDEX(tb_pcm_ativos[descricao_ativo],MATCH(B28,tb_pcm_ativos[tag],0)),"fora do cadastro"))</f>
        <v/>
      </c>
      <c r="D28" s="75" t="n"/>
      <c r="E28" s="76" t="n"/>
      <c r="F28" s="77" t="n"/>
      <c r="G28" s="77" t="n"/>
      <c r="H28" s="77" t="n"/>
      <c r="I28" s="77" t="n"/>
      <c r="J28" s="77" t="n"/>
      <c r="K28" s="77" t="n"/>
      <c r="L28" s="77" t="n"/>
      <c r="M28" s="89" t="n"/>
      <c r="N28" s="77" t="n"/>
      <c r="O28" s="77" t="n"/>
      <c r="P28" s="77" t="n"/>
      <c r="Q28" s="77" t="n"/>
      <c r="R28" s="77" t="n"/>
      <c r="S28" s="77" t="n"/>
      <c r="T28" s="89" t="n"/>
      <c r="U28" s="77" t="n"/>
      <c r="V28" s="77" t="n"/>
      <c r="W28" s="77" t="n"/>
      <c r="X28" s="77" t="n"/>
      <c r="Y28" s="77" t="n"/>
      <c r="Z28" s="77" t="n"/>
      <c r="AA28" s="89" t="n"/>
      <c r="AB28" s="77" t="n"/>
      <c r="AC28" s="77" t="n"/>
      <c r="AD28" s="77" t="n"/>
      <c r="AE28" s="77" t="n"/>
      <c r="AF28" s="77" t="n"/>
      <c r="AG28" s="77" t="n"/>
      <c r="AH28" s="89" t="n"/>
      <c r="AI28" s="77" t="n"/>
      <c r="AJ28" s="77" t="n"/>
      <c r="AK28" s="90">
        <f>IF(COUNTA($F28:$AJ28)=0,"",COUNTIF($F28:$AJ28,"●")+COUNTIF($F28:$AJ28,"✔")+COUNTIF($F28:$AJ28,"R"))</f>
        <v/>
      </c>
      <c r="AL28" s="78">
        <f>IF(AK28="","",COUNTIF($F28:$AJ28,"✔"))</f>
        <v/>
      </c>
      <c r="AM28" s="79">
        <f>IF(N(AK28)=0,"",AL28/AK28)</f>
        <v/>
      </c>
      <c r="AN28" s="80">
        <f>IF(N(AK28)=0,"",IF(AL28=AK28,"Concluída",IF(COUNTIF($F28:$AJ28,"R")&gt;0,"Reprogramada",IF(AL28&gt;0,"Em andamento","Planejada"))))</f>
        <v/>
      </c>
    </row>
    <row r="29" ht="19" customHeight="1">
      <c r="A29" s="72" t="n">
        <v>20</v>
      </c>
      <c r="B29" s="73" t="n"/>
      <c r="C29" s="74">
        <f>IF(B29="","",IFERROR(INDEX(tb_pcm_ativos[descricao_ativo],MATCH(B29,tb_pcm_ativos[tag],0)),"fora do cadastro"))</f>
        <v/>
      </c>
      <c r="D29" s="75" t="n"/>
      <c r="E29" s="76" t="n"/>
      <c r="F29" s="77" t="n"/>
      <c r="G29" s="77" t="n"/>
      <c r="H29" s="77" t="n"/>
      <c r="I29" s="77" t="n"/>
      <c r="J29" s="77" t="n"/>
      <c r="K29" s="77" t="n"/>
      <c r="L29" s="77" t="n"/>
      <c r="M29" s="89" t="n"/>
      <c r="N29" s="77" t="n"/>
      <c r="O29" s="77" t="n"/>
      <c r="P29" s="77" t="n"/>
      <c r="Q29" s="77" t="n"/>
      <c r="R29" s="77" t="n"/>
      <c r="S29" s="77" t="n"/>
      <c r="T29" s="89" t="n"/>
      <c r="U29" s="77" t="n"/>
      <c r="V29" s="77" t="n"/>
      <c r="W29" s="77" t="n"/>
      <c r="X29" s="77" t="n"/>
      <c r="Y29" s="77" t="n"/>
      <c r="Z29" s="77" t="n"/>
      <c r="AA29" s="89" t="n"/>
      <c r="AB29" s="77" t="n"/>
      <c r="AC29" s="77" t="n"/>
      <c r="AD29" s="77" t="n"/>
      <c r="AE29" s="77" t="n"/>
      <c r="AF29" s="77" t="n"/>
      <c r="AG29" s="77" t="n"/>
      <c r="AH29" s="89" t="n"/>
      <c r="AI29" s="77" t="n"/>
      <c r="AJ29" s="77" t="n"/>
      <c r="AK29" s="90">
        <f>IF(COUNTA($F29:$AJ29)=0,"",COUNTIF($F29:$AJ29,"●")+COUNTIF($F29:$AJ29,"✔")+COUNTIF($F29:$AJ29,"R"))</f>
        <v/>
      </c>
      <c r="AL29" s="78">
        <f>IF(AK29="","",COUNTIF($F29:$AJ29,"✔"))</f>
        <v/>
      </c>
      <c r="AM29" s="79">
        <f>IF(N(AK29)=0,"",AL29/AK29)</f>
        <v/>
      </c>
      <c r="AN29" s="80">
        <f>IF(N(AK29)=0,"",IF(AL29=AK29,"Concluída",IF(COUNTIF($F29:$AJ29,"R")&gt;0,"Reprogramada",IF(AL29&gt;0,"Em andamento","Planejada"))))</f>
        <v/>
      </c>
    </row>
    <row r="30" ht="19" customHeight="1">
      <c r="A30" s="72" t="n">
        <v>21</v>
      </c>
      <c r="B30" s="73" t="n"/>
      <c r="C30" s="74">
        <f>IF(B30="","",IFERROR(INDEX(tb_pcm_ativos[descricao_ativo],MATCH(B30,tb_pcm_ativos[tag],0)),"fora do cadastro"))</f>
        <v/>
      </c>
      <c r="D30" s="75" t="n"/>
      <c r="E30" s="76" t="n"/>
      <c r="F30" s="77" t="n"/>
      <c r="G30" s="77" t="n"/>
      <c r="H30" s="77" t="n"/>
      <c r="I30" s="77" t="n"/>
      <c r="J30" s="77" t="n"/>
      <c r="K30" s="77" t="n"/>
      <c r="L30" s="77" t="n"/>
      <c r="M30" s="89" t="n"/>
      <c r="N30" s="77" t="n"/>
      <c r="O30" s="77" t="n"/>
      <c r="P30" s="77" t="n"/>
      <c r="Q30" s="77" t="n"/>
      <c r="R30" s="77" t="n"/>
      <c r="S30" s="77" t="n"/>
      <c r="T30" s="89" t="n"/>
      <c r="U30" s="77" t="n"/>
      <c r="V30" s="77" t="n"/>
      <c r="W30" s="77" t="n"/>
      <c r="X30" s="77" t="n"/>
      <c r="Y30" s="77" t="n"/>
      <c r="Z30" s="77" t="n"/>
      <c r="AA30" s="89" t="n"/>
      <c r="AB30" s="77" t="n"/>
      <c r="AC30" s="77" t="n"/>
      <c r="AD30" s="77" t="n"/>
      <c r="AE30" s="77" t="n"/>
      <c r="AF30" s="77" t="n"/>
      <c r="AG30" s="77" t="n"/>
      <c r="AH30" s="89" t="n"/>
      <c r="AI30" s="77" t="n"/>
      <c r="AJ30" s="77" t="n"/>
      <c r="AK30" s="90">
        <f>IF(COUNTA($F30:$AJ30)=0,"",COUNTIF($F30:$AJ30,"●")+COUNTIF($F30:$AJ30,"✔")+COUNTIF($F30:$AJ30,"R"))</f>
        <v/>
      </c>
      <c r="AL30" s="78">
        <f>IF(AK30="","",COUNTIF($F30:$AJ30,"✔"))</f>
        <v/>
      </c>
      <c r="AM30" s="79">
        <f>IF(N(AK30)=0,"",AL30/AK30)</f>
        <v/>
      </c>
      <c r="AN30" s="80">
        <f>IF(N(AK30)=0,"",IF(AL30=AK30,"Concluída",IF(COUNTIF($F30:$AJ30,"R")&gt;0,"Reprogramada",IF(AL30&gt;0,"Em andamento","Planejada"))))</f>
        <v/>
      </c>
    </row>
    <row r="31" ht="19" customHeight="1">
      <c r="A31" s="72" t="n">
        <v>22</v>
      </c>
      <c r="B31" s="73" t="n"/>
      <c r="C31" s="74">
        <f>IF(B31="","",IFERROR(INDEX(tb_pcm_ativos[descricao_ativo],MATCH(B31,tb_pcm_ativos[tag],0)),"fora do cadastro"))</f>
        <v/>
      </c>
      <c r="D31" s="75" t="n"/>
      <c r="E31" s="76" t="n"/>
      <c r="F31" s="77" t="n"/>
      <c r="G31" s="77" t="n"/>
      <c r="H31" s="77" t="n"/>
      <c r="I31" s="77" t="n"/>
      <c r="J31" s="77" t="n"/>
      <c r="K31" s="77" t="n"/>
      <c r="L31" s="77" t="n"/>
      <c r="M31" s="89" t="n"/>
      <c r="N31" s="77" t="n"/>
      <c r="O31" s="77" t="n"/>
      <c r="P31" s="77" t="n"/>
      <c r="Q31" s="77" t="n"/>
      <c r="R31" s="77" t="n"/>
      <c r="S31" s="77" t="n"/>
      <c r="T31" s="89" t="n"/>
      <c r="U31" s="77" t="n"/>
      <c r="V31" s="77" t="n"/>
      <c r="W31" s="77" t="n"/>
      <c r="X31" s="77" t="n"/>
      <c r="Y31" s="77" t="n"/>
      <c r="Z31" s="77" t="n"/>
      <c r="AA31" s="89" t="n"/>
      <c r="AB31" s="77" t="n"/>
      <c r="AC31" s="77" t="n"/>
      <c r="AD31" s="77" t="n"/>
      <c r="AE31" s="77" t="n"/>
      <c r="AF31" s="77" t="n"/>
      <c r="AG31" s="77" t="n"/>
      <c r="AH31" s="89" t="n"/>
      <c r="AI31" s="77" t="n"/>
      <c r="AJ31" s="77" t="n"/>
      <c r="AK31" s="90">
        <f>IF(COUNTA($F31:$AJ31)=0,"",COUNTIF($F31:$AJ31,"●")+COUNTIF($F31:$AJ31,"✔")+COUNTIF($F31:$AJ31,"R"))</f>
        <v/>
      </c>
      <c r="AL31" s="78">
        <f>IF(AK31="","",COUNTIF($F31:$AJ31,"✔"))</f>
        <v/>
      </c>
      <c r="AM31" s="79">
        <f>IF(N(AK31)=0,"",AL31/AK31)</f>
        <v/>
      </c>
      <c r="AN31" s="80">
        <f>IF(N(AK31)=0,"",IF(AL31=AK31,"Concluída",IF(COUNTIF($F31:$AJ31,"R")&gt;0,"Reprogramada",IF(AL31&gt;0,"Em andamento","Planejada"))))</f>
        <v/>
      </c>
    </row>
    <row r="32" ht="19" customHeight="1">
      <c r="A32" s="72" t="n">
        <v>23</v>
      </c>
      <c r="B32" s="73" t="n"/>
      <c r="C32" s="74">
        <f>IF(B32="","",IFERROR(INDEX(tb_pcm_ativos[descricao_ativo],MATCH(B32,tb_pcm_ativos[tag],0)),"fora do cadastro"))</f>
        <v/>
      </c>
      <c r="D32" s="75" t="n"/>
      <c r="E32" s="76" t="n"/>
      <c r="F32" s="77" t="n"/>
      <c r="G32" s="77" t="n"/>
      <c r="H32" s="77" t="n"/>
      <c r="I32" s="77" t="n"/>
      <c r="J32" s="77" t="n"/>
      <c r="K32" s="77" t="n"/>
      <c r="L32" s="77" t="n"/>
      <c r="M32" s="89" t="n"/>
      <c r="N32" s="77" t="n"/>
      <c r="O32" s="77" t="n"/>
      <c r="P32" s="77" t="n"/>
      <c r="Q32" s="77" t="n"/>
      <c r="R32" s="77" t="n"/>
      <c r="S32" s="77" t="n"/>
      <c r="T32" s="89" t="n"/>
      <c r="U32" s="77" t="n"/>
      <c r="V32" s="77" t="n"/>
      <c r="W32" s="77" t="n"/>
      <c r="X32" s="77" t="n"/>
      <c r="Y32" s="77" t="n"/>
      <c r="Z32" s="77" t="n"/>
      <c r="AA32" s="89" t="n"/>
      <c r="AB32" s="77" t="n"/>
      <c r="AC32" s="77" t="n"/>
      <c r="AD32" s="77" t="n"/>
      <c r="AE32" s="77" t="n"/>
      <c r="AF32" s="77" t="n"/>
      <c r="AG32" s="77" t="n"/>
      <c r="AH32" s="89" t="n"/>
      <c r="AI32" s="77" t="n"/>
      <c r="AJ32" s="77" t="n"/>
      <c r="AK32" s="90">
        <f>IF(COUNTA($F32:$AJ32)=0,"",COUNTIF($F32:$AJ32,"●")+COUNTIF($F32:$AJ32,"✔")+COUNTIF($F32:$AJ32,"R"))</f>
        <v/>
      </c>
      <c r="AL32" s="78">
        <f>IF(AK32="","",COUNTIF($F32:$AJ32,"✔"))</f>
        <v/>
      </c>
      <c r="AM32" s="79">
        <f>IF(N(AK32)=0,"",AL32/AK32)</f>
        <v/>
      </c>
      <c r="AN32" s="80">
        <f>IF(N(AK32)=0,"",IF(AL32=AK32,"Concluída",IF(COUNTIF($F32:$AJ32,"R")&gt;0,"Reprogramada",IF(AL32&gt;0,"Em andamento","Planejada"))))</f>
        <v/>
      </c>
    </row>
    <row r="33" ht="19" customHeight="1">
      <c r="A33" s="72" t="n">
        <v>24</v>
      </c>
      <c r="B33" s="73" t="n"/>
      <c r="C33" s="74">
        <f>IF(B33="","",IFERROR(INDEX(tb_pcm_ativos[descricao_ativo],MATCH(B33,tb_pcm_ativos[tag],0)),"fora do cadastro"))</f>
        <v/>
      </c>
      <c r="D33" s="75" t="n"/>
      <c r="E33" s="76" t="n"/>
      <c r="F33" s="77" t="n"/>
      <c r="G33" s="77" t="n"/>
      <c r="H33" s="77" t="n"/>
      <c r="I33" s="77" t="n"/>
      <c r="J33" s="77" t="n"/>
      <c r="K33" s="77" t="n"/>
      <c r="L33" s="77" t="n"/>
      <c r="M33" s="89" t="n"/>
      <c r="N33" s="77" t="n"/>
      <c r="O33" s="77" t="n"/>
      <c r="P33" s="77" t="n"/>
      <c r="Q33" s="77" t="n"/>
      <c r="R33" s="77" t="n"/>
      <c r="S33" s="77" t="n"/>
      <c r="T33" s="89" t="n"/>
      <c r="U33" s="77" t="n"/>
      <c r="V33" s="77" t="n"/>
      <c r="W33" s="77" t="n"/>
      <c r="X33" s="77" t="n"/>
      <c r="Y33" s="77" t="n"/>
      <c r="Z33" s="77" t="n"/>
      <c r="AA33" s="89" t="n"/>
      <c r="AB33" s="77" t="n"/>
      <c r="AC33" s="77" t="n"/>
      <c r="AD33" s="77" t="n"/>
      <c r="AE33" s="77" t="n"/>
      <c r="AF33" s="77" t="n"/>
      <c r="AG33" s="77" t="n"/>
      <c r="AH33" s="89" t="n"/>
      <c r="AI33" s="77" t="n"/>
      <c r="AJ33" s="77" t="n"/>
      <c r="AK33" s="90">
        <f>IF(COUNTA($F33:$AJ33)=0,"",COUNTIF($F33:$AJ33,"●")+COUNTIF($F33:$AJ33,"✔")+COUNTIF($F33:$AJ33,"R"))</f>
        <v/>
      </c>
      <c r="AL33" s="78">
        <f>IF(AK33="","",COUNTIF($F33:$AJ33,"✔"))</f>
        <v/>
      </c>
      <c r="AM33" s="79">
        <f>IF(N(AK33)=0,"",AL33/AK33)</f>
        <v/>
      </c>
      <c r="AN33" s="80">
        <f>IF(N(AK33)=0,"",IF(AL33=AK33,"Concluída",IF(COUNTIF($F33:$AJ33,"R")&gt;0,"Reprogramada",IF(AL33&gt;0,"Em andamento","Planejada"))))</f>
        <v/>
      </c>
    </row>
    <row r="34" ht="19" customHeight="1">
      <c r="A34" s="72" t="n">
        <v>25</v>
      </c>
      <c r="B34" s="73" t="n"/>
      <c r="C34" s="74">
        <f>IF(B34="","",IFERROR(INDEX(tb_pcm_ativos[descricao_ativo],MATCH(B34,tb_pcm_ativos[tag],0)),"fora do cadastro"))</f>
        <v/>
      </c>
      <c r="D34" s="75" t="n"/>
      <c r="E34" s="76" t="n"/>
      <c r="F34" s="77" t="n"/>
      <c r="G34" s="77" t="n"/>
      <c r="H34" s="77" t="n"/>
      <c r="I34" s="77" t="n"/>
      <c r="J34" s="77" t="n"/>
      <c r="K34" s="77" t="n"/>
      <c r="L34" s="77" t="n"/>
      <c r="M34" s="89" t="n"/>
      <c r="N34" s="77" t="n"/>
      <c r="O34" s="77" t="n"/>
      <c r="P34" s="77" t="n"/>
      <c r="Q34" s="77" t="n"/>
      <c r="R34" s="77" t="n"/>
      <c r="S34" s="77" t="n"/>
      <c r="T34" s="89" t="n"/>
      <c r="U34" s="77" t="n"/>
      <c r="V34" s="77" t="n"/>
      <c r="W34" s="77" t="n"/>
      <c r="X34" s="77" t="n"/>
      <c r="Y34" s="77" t="n"/>
      <c r="Z34" s="77" t="n"/>
      <c r="AA34" s="89" t="n"/>
      <c r="AB34" s="77" t="n"/>
      <c r="AC34" s="77" t="n"/>
      <c r="AD34" s="77" t="n"/>
      <c r="AE34" s="77" t="n"/>
      <c r="AF34" s="77" t="n"/>
      <c r="AG34" s="77" t="n"/>
      <c r="AH34" s="89" t="n"/>
      <c r="AI34" s="77" t="n"/>
      <c r="AJ34" s="77" t="n"/>
      <c r="AK34" s="90">
        <f>IF(COUNTA($F34:$AJ34)=0,"",COUNTIF($F34:$AJ34,"●")+COUNTIF($F34:$AJ34,"✔")+COUNTIF($F34:$AJ34,"R"))</f>
        <v/>
      </c>
      <c r="AL34" s="78">
        <f>IF(AK34="","",COUNTIF($F34:$AJ34,"✔"))</f>
        <v/>
      </c>
      <c r="AM34" s="79">
        <f>IF(N(AK34)=0,"",AL34/AK34)</f>
        <v/>
      </c>
      <c r="AN34" s="80">
        <f>IF(N(AK34)=0,"",IF(AL34=AK34,"Concluída",IF(COUNTIF($F34:$AJ34,"R")&gt;0,"Reprogramada",IF(AL34&gt;0,"Em andamento","Planejada"))))</f>
        <v/>
      </c>
    </row>
    <row r="35" ht="19" customHeight="1">
      <c r="A35" s="72" t="n">
        <v>26</v>
      </c>
      <c r="B35" s="73" t="n"/>
      <c r="C35" s="74">
        <f>IF(B35="","",IFERROR(INDEX(tb_pcm_ativos[descricao_ativo],MATCH(B35,tb_pcm_ativos[tag],0)),"fora do cadastro"))</f>
        <v/>
      </c>
      <c r="D35" s="75" t="n"/>
      <c r="E35" s="76" t="n"/>
      <c r="F35" s="77" t="n"/>
      <c r="G35" s="77" t="n"/>
      <c r="H35" s="77" t="n"/>
      <c r="I35" s="77" t="n"/>
      <c r="J35" s="77" t="n"/>
      <c r="K35" s="77" t="n"/>
      <c r="L35" s="77" t="n"/>
      <c r="M35" s="89" t="n"/>
      <c r="N35" s="77" t="n"/>
      <c r="O35" s="77" t="n"/>
      <c r="P35" s="77" t="n"/>
      <c r="Q35" s="77" t="n"/>
      <c r="R35" s="77" t="n"/>
      <c r="S35" s="77" t="n"/>
      <c r="T35" s="89" t="n"/>
      <c r="U35" s="77" t="n"/>
      <c r="V35" s="77" t="n"/>
      <c r="W35" s="77" t="n"/>
      <c r="X35" s="77" t="n"/>
      <c r="Y35" s="77" t="n"/>
      <c r="Z35" s="77" t="n"/>
      <c r="AA35" s="89" t="n"/>
      <c r="AB35" s="77" t="n"/>
      <c r="AC35" s="77" t="n"/>
      <c r="AD35" s="77" t="n"/>
      <c r="AE35" s="77" t="n"/>
      <c r="AF35" s="77" t="n"/>
      <c r="AG35" s="77" t="n"/>
      <c r="AH35" s="89" t="n"/>
      <c r="AI35" s="77" t="n"/>
      <c r="AJ35" s="77" t="n"/>
      <c r="AK35" s="90">
        <f>IF(COUNTA($F35:$AJ35)=0,"",COUNTIF($F35:$AJ35,"●")+COUNTIF($F35:$AJ35,"✔")+COUNTIF($F35:$AJ35,"R"))</f>
        <v/>
      </c>
      <c r="AL35" s="78">
        <f>IF(AK35="","",COUNTIF($F35:$AJ35,"✔"))</f>
        <v/>
      </c>
      <c r="AM35" s="79">
        <f>IF(N(AK35)=0,"",AL35/AK35)</f>
        <v/>
      </c>
      <c r="AN35" s="80">
        <f>IF(N(AK35)=0,"",IF(AL35=AK35,"Concluída",IF(COUNTIF($F35:$AJ35,"R")&gt;0,"Reprogramada",IF(AL35&gt;0,"Em andamento","Planejada"))))</f>
        <v/>
      </c>
    </row>
    <row r="36" ht="19" customHeight="1">
      <c r="A36" s="72" t="n">
        <v>27</v>
      </c>
      <c r="B36" s="73" t="n"/>
      <c r="C36" s="74">
        <f>IF(B36="","",IFERROR(INDEX(tb_pcm_ativos[descricao_ativo],MATCH(B36,tb_pcm_ativos[tag],0)),"fora do cadastro"))</f>
        <v/>
      </c>
      <c r="D36" s="75" t="n"/>
      <c r="E36" s="76" t="n"/>
      <c r="F36" s="77" t="n"/>
      <c r="G36" s="77" t="n"/>
      <c r="H36" s="77" t="n"/>
      <c r="I36" s="77" t="n"/>
      <c r="J36" s="77" t="n"/>
      <c r="K36" s="77" t="n"/>
      <c r="L36" s="77" t="n"/>
      <c r="M36" s="89" t="n"/>
      <c r="N36" s="77" t="n"/>
      <c r="O36" s="77" t="n"/>
      <c r="P36" s="77" t="n"/>
      <c r="Q36" s="77" t="n"/>
      <c r="R36" s="77" t="n"/>
      <c r="S36" s="77" t="n"/>
      <c r="T36" s="89" t="n"/>
      <c r="U36" s="77" t="n"/>
      <c r="V36" s="77" t="n"/>
      <c r="W36" s="77" t="n"/>
      <c r="X36" s="77" t="n"/>
      <c r="Y36" s="77" t="n"/>
      <c r="Z36" s="77" t="n"/>
      <c r="AA36" s="89" t="n"/>
      <c r="AB36" s="77" t="n"/>
      <c r="AC36" s="77" t="n"/>
      <c r="AD36" s="77" t="n"/>
      <c r="AE36" s="77" t="n"/>
      <c r="AF36" s="77" t="n"/>
      <c r="AG36" s="77" t="n"/>
      <c r="AH36" s="89" t="n"/>
      <c r="AI36" s="77" t="n"/>
      <c r="AJ36" s="77" t="n"/>
      <c r="AK36" s="90">
        <f>IF(COUNTA($F36:$AJ36)=0,"",COUNTIF($F36:$AJ36,"●")+COUNTIF($F36:$AJ36,"✔")+COUNTIF($F36:$AJ36,"R"))</f>
        <v/>
      </c>
      <c r="AL36" s="78">
        <f>IF(AK36="","",COUNTIF($F36:$AJ36,"✔"))</f>
        <v/>
      </c>
      <c r="AM36" s="79">
        <f>IF(N(AK36)=0,"",AL36/AK36)</f>
        <v/>
      </c>
      <c r="AN36" s="80">
        <f>IF(N(AK36)=0,"",IF(AL36=AK36,"Concluída",IF(COUNTIF($F36:$AJ36,"R")&gt;0,"Reprogramada",IF(AL36&gt;0,"Em andamento","Planejada"))))</f>
        <v/>
      </c>
    </row>
    <row r="37" ht="19" customHeight="1">
      <c r="A37" s="72" t="n">
        <v>28</v>
      </c>
      <c r="B37" s="73" t="n"/>
      <c r="C37" s="74">
        <f>IF(B37="","",IFERROR(INDEX(tb_pcm_ativos[descricao_ativo],MATCH(B37,tb_pcm_ativos[tag],0)),"fora do cadastro"))</f>
        <v/>
      </c>
      <c r="D37" s="75" t="n"/>
      <c r="E37" s="76" t="n"/>
      <c r="F37" s="77" t="n"/>
      <c r="G37" s="77" t="n"/>
      <c r="H37" s="77" t="n"/>
      <c r="I37" s="77" t="n"/>
      <c r="J37" s="77" t="n"/>
      <c r="K37" s="77" t="n"/>
      <c r="L37" s="77" t="n"/>
      <c r="M37" s="89" t="n"/>
      <c r="N37" s="77" t="n"/>
      <c r="O37" s="77" t="n"/>
      <c r="P37" s="77" t="n"/>
      <c r="Q37" s="77" t="n"/>
      <c r="R37" s="77" t="n"/>
      <c r="S37" s="77" t="n"/>
      <c r="T37" s="89" t="n"/>
      <c r="U37" s="77" t="n"/>
      <c r="V37" s="77" t="n"/>
      <c r="W37" s="77" t="n"/>
      <c r="X37" s="77" t="n"/>
      <c r="Y37" s="77" t="n"/>
      <c r="Z37" s="77" t="n"/>
      <c r="AA37" s="89" t="n"/>
      <c r="AB37" s="77" t="n"/>
      <c r="AC37" s="77" t="n"/>
      <c r="AD37" s="77" t="n"/>
      <c r="AE37" s="77" t="n"/>
      <c r="AF37" s="77" t="n"/>
      <c r="AG37" s="77" t="n"/>
      <c r="AH37" s="89" t="n"/>
      <c r="AI37" s="77" t="n"/>
      <c r="AJ37" s="77" t="n"/>
      <c r="AK37" s="90">
        <f>IF(COUNTA($F37:$AJ37)=0,"",COUNTIF($F37:$AJ37,"●")+COUNTIF($F37:$AJ37,"✔")+COUNTIF($F37:$AJ37,"R"))</f>
        <v/>
      </c>
      <c r="AL37" s="78">
        <f>IF(AK37="","",COUNTIF($F37:$AJ37,"✔"))</f>
        <v/>
      </c>
      <c r="AM37" s="79">
        <f>IF(N(AK37)=0,"",AL37/AK37)</f>
        <v/>
      </c>
      <c r="AN37" s="80">
        <f>IF(N(AK37)=0,"",IF(AL37=AK37,"Concluída",IF(COUNTIF($F37:$AJ37,"R")&gt;0,"Reprogramada",IF(AL37&gt;0,"Em andamento","Planejada"))))</f>
        <v/>
      </c>
    </row>
    <row r="38" ht="19" customHeight="1">
      <c r="A38" s="72" t="n">
        <v>29</v>
      </c>
      <c r="B38" s="73" t="n"/>
      <c r="C38" s="74">
        <f>IF(B38="","",IFERROR(INDEX(tb_pcm_ativos[descricao_ativo],MATCH(B38,tb_pcm_ativos[tag],0)),"fora do cadastro"))</f>
        <v/>
      </c>
      <c r="D38" s="75" t="n"/>
      <c r="E38" s="76" t="n"/>
      <c r="F38" s="77" t="n"/>
      <c r="G38" s="77" t="n"/>
      <c r="H38" s="77" t="n"/>
      <c r="I38" s="77" t="n"/>
      <c r="J38" s="77" t="n"/>
      <c r="K38" s="77" t="n"/>
      <c r="L38" s="77" t="n"/>
      <c r="M38" s="89" t="n"/>
      <c r="N38" s="77" t="n"/>
      <c r="O38" s="77" t="n"/>
      <c r="P38" s="77" t="n"/>
      <c r="Q38" s="77" t="n"/>
      <c r="R38" s="77" t="n"/>
      <c r="S38" s="77" t="n"/>
      <c r="T38" s="89" t="n"/>
      <c r="U38" s="77" t="n"/>
      <c r="V38" s="77" t="n"/>
      <c r="W38" s="77" t="n"/>
      <c r="X38" s="77" t="n"/>
      <c r="Y38" s="77" t="n"/>
      <c r="Z38" s="77" t="n"/>
      <c r="AA38" s="89" t="n"/>
      <c r="AB38" s="77" t="n"/>
      <c r="AC38" s="77" t="n"/>
      <c r="AD38" s="77" t="n"/>
      <c r="AE38" s="77" t="n"/>
      <c r="AF38" s="77" t="n"/>
      <c r="AG38" s="77" t="n"/>
      <c r="AH38" s="89" t="n"/>
      <c r="AI38" s="77" t="n"/>
      <c r="AJ38" s="77" t="n"/>
      <c r="AK38" s="90">
        <f>IF(COUNTA($F38:$AJ38)=0,"",COUNTIF($F38:$AJ38,"●")+COUNTIF($F38:$AJ38,"✔")+COUNTIF($F38:$AJ38,"R"))</f>
        <v/>
      </c>
      <c r="AL38" s="78">
        <f>IF(AK38="","",COUNTIF($F38:$AJ38,"✔"))</f>
        <v/>
      </c>
      <c r="AM38" s="79">
        <f>IF(N(AK38)=0,"",AL38/AK38)</f>
        <v/>
      </c>
      <c r="AN38" s="80">
        <f>IF(N(AK38)=0,"",IF(AL38=AK38,"Concluída",IF(COUNTIF($F38:$AJ38,"R")&gt;0,"Reprogramada",IF(AL38&gt;0,"Em andamento","Planejada"))))</f>
        <v/>
      </c>
    </row>
    <row r="39" ht="19" customHeight="1">
      <c r="A39" s="72" t="n">
        <v>30</v>
      </c>
      <c r="B39" s="73" t="n"/>
      <c r="C39" s="74">
        <f>IF(B39="","",IFERROR(INDEX(tb_pcm_ativos[descricao_ativo],MATCH(B39,tb_pcm_ativos[tag],0)),"fora do cadastro"))</f>
        <v/>
      </c>
      <c r="D39" s="75" t="n"/>
      <c r="E39" s="76" t="n"/>
      <c r="F39" s="77" t="n"/>
      <c r="G39" s="77" t="n"/>
      <c r="H39" s="77" t="n"/>
      <c r="I39" s="77" t="n"/>
      <c r="J39" s="77" t="n"/>
      <c r="K39" s="77" t="n"/>
      <c r="L39" s="77" t="n"/>
      <c r="M39" s="89" t="n"/>
      <c r="N39" s="77" t="n"/>
      <c r="O39" s="77" t="n"/>
      <c r="P39" s="77" t="n"/>
      <c r="Q39" s="77" t="n"/>
      <c r="R39" s="77" t="n"/>
      <c r="S39" s="77" t="n"/>
      <c r="T39" s="89" t="n"/>
      <c r="U39" s="77" t="n"/>
      <c r="V39" s="77" t="n"/>
      <c r="W39" s="77" t="n"/>
      <c r="X39" s="77" t="n"/>
      <c r="Y39" s="77" t="n"/>
      <c r="Z39" s="77" t="n"/>
      <c r="AA39" s="89" t="n"/>
      <c r="AB39" s="77" t="n"/>
      <c r="AC39" s="77" t="n"/>
      <c r="AD39" s="77" t="n"/>
      <c r="AE39" s="77" t="n"/>
      <c r="AF39" s="77" t="n"/>
      <c r="AG39" s="77" t="n"/>
      <c r="AH39" s="89" t="n"/>
      <c r="AI39" s="77" t="n"/>
      <c r="AJ39" s="77" t="n"/>
      <c r="AK39" s="90">
        <f>IF(COUNTA($F39:$AJ39)=0,"",COUNTIF($F39:$AJ39,"●")+COUNTIF($F39:$AJ39,"✔")+COUNTIF($F39:$AJ39,"R"))</f>
        <v/>
      </c>
      <c r="AL39" s="78">
        <f>IF(AK39="","",COUNTIF($F39:$AJ39,"✔"))</f>
        <v/>
      </c>
      <c r="AM39" s="79">
        <f>IF(N(AK39)=0,"",AL39/AK39)</f>
        <v/>
      </c>
      <c r="AN39" s="80">
        <f>IF(N(AK39)=0,"",IF(AL39=AK39,"Concluída",IF(COUNTIF($F39:$AJ39,"R")&gt;0,"Reprogramada",IF(AL39&gt;0,"Em andamento","Planejada"))))</f>
        <v/>
      </c>
    </row>
    <row r="40" ht="20" customHeight="1">
      <c r="A40" s="81" t="inlineStr">
        <is>
          <r>
            <rPr>
              <rFont val="Arial"/>
              <b val="1"/>
              <color rgb="006B7686"/>
              <sz val="8"/>
            </rPr>
            <t xml:space="preserve">●  planejado      </t>
          </r>
          <r>
            <rPr>
              <rFont val="Arial"/>
              <b val="1"/>
              <color rgb="006B7686"/>
              <sz val="8"/>
            </rPr>
            <t xml:space="preserve">✔  realizado      </t>
          </r>
          <r>
            <rPr>
              <rFont val="Arial"/>
              <b val="1"/>
              <color rgb="006B7686"/>
              <sz val="8"/>
            </rPr>
            <t xml:space="preserve">R  reprogramado      </t>
          </r>
          <r>
            <rPr>
              <rFont val="Arial"/>
              <b val="1"/>
              <color rgb="006B7686"/>
              <sz val="8"/>
            </rPr>
            <t xml:space="preserve">|    Escolha a marcação na seta de cada célula. Escolha o ano e o mês no topo. Dias que o mês não tem ficam em branco.      </t>
          </r>
        </is>
      </c>
    </row>
  </sheetData>
  <mergeCells count="32">
    <mergeCell ref="M3:S3"/>
    <mergeCell ref="E8:E9"/>
    <mergeCell ref="AH3:AL3"/>
    <mergeCell ref="AA3:AG3"/>
    <mergeCell ref="B8:B9"/>
    <mergeCell ref="A3:C3"/>
    <mergeCell ref="AJ2:AN2"/>
    <mergeCell ref="D1:AI1"/>
    <mergeCell ref="AH4:AL4"/>
    <mergeCell ref="T3:Z3"/>
    <mergeCell ref="M4:S4"/>
    <mergeCell ref="A1:C2"/>
    <mergeCell ref="F4:L4"/>
    <mergeCell ref="A4:C4"/>
    <mergeCell ref="A40:AN40"/>
    <mergeCell ref="D2:AI2"/>
    <mergeCell ref="A8:A9"/>
    <mergeCell ref="C8:C9"/>
    <mergeCell ref="AL8:AL9"/>
    <mergeCell ref="AN8:AN9"/>
    <mergeCell ref="T4:Z4"/>
    <mergeCell ref="F3:L3"/>
    <mergeCell ref="D8:D9"/>
    <mergeCell ref="D4:E4"/>
    <mergeCell ref="AM4:AN4"/>
    <mergeCell ref="D3:E3"/>
    <mergeCell ref="AA4:AG4"/>
    <mergeCell ref="AM3:AN3"/>
    <mergeCell ref="AK8:AK9"/>
    <mergeCell ref="AM8:AM9"/>
    <mergeCell ref="AJ1:AN1"/>
    <mergeCell ref="F8:AJ8"/>
  </mergeCells>
  <conditionalFormatting sqref="F9:AJ9">
    <cfRule type="expression" priority="1" dxfId="5" stopIfTrue="1">
      <formula>AND($D$4&lt;&gt;"",F$9&gt;DAY(EOMONTH(DATE(IF(N($A$4)&gt;0,N($A$4),IF(ISNUMBER(--$A$4),--$A$4,YEAR(TODAY()))),(FIND(LEFT($D$4,3),"JanFevMarAbrMaiJunJulAgoSetOutNovDez")+2)/3,1),0)))</formula>
    </cfRule>
  </conditionalFormatting>
  <conditionalFormatting sqref="F10:AJ39">
    <cfRule type="expression" priority="2" dxfId="6" stopIfTrue="1">
      <formula>AND($D$4&lt;&gt;"",F$9&gt;DAY(EOMONTH(DATE(IF(N($A$4)&gt;0,N($A$4),IF(ISNUMBER(--$A$4),--$A$4,YEAR(TODAY()))),(FIND(LEFT($D$4,3),"JanFevMarAbrMaiJunJulAgoSetOutNovDez")+2)/3,1),0)))</formula>
    </cfRule>
    <cfRule type="expression" priority="3" dxfId="0" stopIfTrue="1">
      <formula>F10="●"</formula>
    </cfRule>
    <cfRule type="expression" priority="4" dxfId="1" stopIfTrue="1">
      <formula>F10="✔"</formula>
    </cfRule>
    <cfRule type="expression" priority="5" dxfId="2" stopIfTrue="1">
      <formula>F10="R"</formula>
    </cfRule>
  </conditionalFormatting>
  <conditionalFormatting sqref="AN10:AN39">
    <cfRule type="expression" priority="6" dxfId="0" stopIfTrue="1">
      <formula>AN10="Planejada"</formula>
    </cfRule>
    <cfRule type="expression" priority="7" dxfId="3" stopIfTrue="1">
      <formula>AN10="Em andamento"</formula>
    </cfRule>
    <cfRule type="expression" priority="8" dxfId="4" stopIfTrue="1">
      <formula>AN10="Concluída"</formula>
    </cfRule>
    <cfRule type="expression" priority="9" dxfId="2" stopIfTrue="1">
      <formula>AN10="Reprogramada"</formula>
    </cfRule>
  </conditionalFormatting>
  <dataValidations count="5">
    <dataValidation sqref="A4" showDropDown="0" showInputMessage="0" showErrorMessage="1" allowBlank="1" errorTitle="Valor fora da lista" error="Escolha um item da lista." type="list" errorStyle="stop">
      <formula1>"2025,2026,2027,2028,2029,2030,2031,2032,2033,2034,2035"</formula1>
    </dataValidation>
    <dataValidation sqref="D4" showDropDown="0" showInputMessage="0" showErrorMessage="1" allowBlank="1" errorTitle="Valor fora da lista" error="Escolha um item da lista." type="list" errorStyle="stop">
      <formula1>"Janeiro,Fevereiro,Março,Abril,Maio,Junho,Julho,Agosto,Setembro,Outubro,Novembro,Dezembro"</formula1>
    </dataValidation>
    <dataValidation sqref="B10:B39" showDropDown="0" showInputMessage="0" showErrorMessage="1" allowBlank="1" errorTitle="Valor fora da lista" error="Escolha um item da lista." type="list" errorStyle="stop">
      <formula1>L_TAGS</formula1>
    </dataValidation>
    <dataValidation sqref="E10:E39" showDropDown="0" showInputMessage="0" showErrorMessage="1" allowBlank="1" errorTitle="Valor fora da lista" error="Escolha um item da lista." type="list" errorStyle="stop">
      <formula1>L_PESSOAS</formula1>
    </dataValidation>
    <dataValidation sqref="F10:AJ39" showDropDown="0" showInputMessage="0" showErrorMessage="1" allowBlank="1" errorTitle="Valor fora da lista" error="Escolha um item da lista." type="list" errorStyle="stop">
      <formula1>"●,✔,R"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BQ40"/>
  <sheetViews>
    <sheetView showGridLines="0" tabSelected="0" zoomScale="9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30" customWidth="1" min="4" max="4"/>
    <col width="14" customWidth="1" min="5" max="5"/>
    <col width="1.85" customWidth="1" min="6" max="6"/>
    <col width="1.85" customWidth="1" min="7" max="7"/>
    <col width="1.85" customWidth="1" min="8" max="8"/>
    <col width="1.85" customWidth="1" min="9" max="9"/>
    <col width="1.85" customWidth="1" min="10" max="10"/>
    <col width="1.85" customWidth="1" min="11" max="11"/>
    <col width="1.85" customWidth="1" min="12" max="12"/>
    <col width="1.85" customWidth="1" min="13" max="13"/>
    <col width="1.85" customWidth="1" min="14" max="14"/>
    <col width="1.85" customWidth="1" min="15" max="15"/>
    <col width="1.85" customWidth="1" min="16" max="16"/>
    <col width="1.85" customWidth="1" min="17" max="17"/>
    <col width="1.85" customWidth="1" min="18" max="18"/>
    <col width="1.85" customWidth="1" min="19" max="19"/>
    <col width="1.85" customWidth="1" min="20" max="20"/>
    <col width="1.85" customWidth="1" min="21" max="21"/>
    <col width="1.85" customWidth="1" min="22" max="22"/>
    <col width="1.85" customWidth="1" min="23" max="23"/>
    <col width="1.85" customWidth="1" min="24" max="24"/>
    <col width="1.85" customWidth="1" min="25" max="25"/>
    <col width="1.85" customWidth="1" min="26" max="26"/>
    <col width="1.85" customWidth="1" min="27" max="27"/>
    <col width="1.85" customWidth="1" min="28" max="28"/>
    <col width="1.85" customWidth="1" min="29" max="29"/>
    <col width="1.85" customWidth="1" min="30" max="30"/>
    <col width="1.85" customWidth="1" min="31" max="31"/>
    <col width="1.85" customWidth="1" min="32" max="32"/>
    <col width="1.85" customWidth="1" min="33" max="33"/>
    <col width="1.85" customWidth="1" min="34" max="34"/>
    <col width="1.85" customWidth="1" min="35" max="35"/>
    <col width="1.85" customWidth="1" min="36" max="36"/>
    <col width="1.85" customWidth="1" min="37" max="37"/>
    <col width="1.85" customWidth="1" min="38" max="38"/>
    <col width="1.85" customWidth="1" min="39" max="39"/>
    <col width="1.85" customWidth="1" min="40" max="40"/>
    <col width="1.85" customWidth="1" min="41" max="41"/>
    <col width="1.85" customWidth="1" min="42" max="42"/>
    <col width="1.85" customWidth="1" min="43" max="43"/>
    <col width="1.85" customWidth="1" min="44" max="44"/>
    <col width="1.85" customWidth="1" min="45" max="45"/>
    <col width="1.85" customWidth="1" min="46" max="46"/>
    <col width="1.85" customWidth="1" min="47" max="47"/>
    <col width="1.85" customWidth="1" min="48" max="48"/>
    <col width="1.85" customWidth="1" min="49" max="49"/>
    <col width="1.85" customWidth="1" min="50" max="50"/>
    <col width="1.85" customWidth="1" min="51" max="51"/>
    <col width="1.85" customWidth="1" min="52" max="52"/>
    <col width="1.85" customWidth="1" min="53" max="53"/>
    <col width="1.85" customWidth="1" min="54" max="54"/>
    <col width="1.85" customWidth="1" min="55" max="55"/>
    <col width="1.85" customWidth="1" min="56" max="56"/>
    <col width="1.85" customWidth="1" min="57" max="57"/>
    <col width="1.85" customWidth="1" min="58" max="58"/>
    <col width="1.85" customWidth="1" min="59" max="59"/>
    <col width="1.85" customWidth="1" min="60" max="60"/>
    <col width="1.85" customWidth="1" min="61" max="61"/>
    <col width="1.85" customWidth="1" min="62" max="62"/>
    <col width="1.85" customWidth="1" min="63" max="63"/>
    <col width="1.85" customWidth="1" min="64" max="64"/>
    <col width="1.85" customWidth="1" min="65" max="65"/>
    <col width="6.5" customWidth="1" min="66" max="66"/>
    <col width="6.5" customWidth="1" min="67" max="67"/>
    <col width="7" customWidth="1" min="68" max="68"/>
    <col width="13" customWidth="1" min="69" max="69"/>
  </cols>
  <sheetData>
    <row r="1" ht="30.75" customHeight="1">
      <c r="A1" s="40" t="n"/>
      <c r="B1" s="41" t="n"/>
      <c r="C1" s="42" t="n"/>
      <c r="D1" s="43" t="inlineStr">
        <is>
          <t>Planner anual</t>
        </is>
      </c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2" t="n"/>
      <c r="BI1" s="44">
        <f>"Rev. "&amp;'Leia-me'!$D$15&amp;"   ·   "&amp;'Leia-me'!$D$16</f>
        <v/>
      </c>
      <c r="BJ1" s="41" t="n"/>
      <c r="BK1" s="41" t="n"/>
      <c r="BL1" s="41" t="n"/>
      <c r="BM1" s="41" t="n"/>
      <c r="BN1" s="41" t="n"/>
      <c r="BO1" s="41" t="n"/>
      <c r="BP1" s="41" t="n"/>
      <c r="BQ1" s="42" t="n"/>
    </row>
    <row r="2" ht="28" customHeight="1">
      <c r="A2" s="45" t="n"/>
      <c r="B2" s="46" t="n"/>
      <c r="C2" s="47" t="n"/>
      <c r="D2" s="48" t="inlineStr">
        <is>
          <t>Objetivo: Programar o ano por semana do mês: paradas, preventivas grandes e serviços de terceiros</t>
        </is>
      </c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  <c r="AV2" s="46" t="n"/>
      <c r="AW2" s="46" t="n"/>
      <c r="AX2" s="46" t="n"/>
      <c r="AY2" s="46" t="n"/>
      <c r="AZ2" s="46" t="n"/>
      <c r="BA2" s="46" t="n"/>
      <c r="BB2" s="46" t="n"/>
      <c r="BC2" s="46" t="n"/>
      <c r="BD2" s="46" t="n"/>
      <c r="BE2" s="46" t="n"/>
      <c r="BF2" s="46" t="n"/>
      <c r="BG2" s="46" t="n"/>
      <c r="BH2" s="47" t="n"/>
      <c r="BI2" s="48">
        <f>"Elaborado: "&amp;'Leia-me'!$D$13&amp;"   ·   Aprovado: "&amp;'Leia-me'!$D$14</f>
        <v/>
      </c>
      <c r="BJ2" s="46" t="n"/>
      <c r="BK2" s="46" t="n"/>
      <c r="BL2" s="46" t="n"/>
      <c r="BM2" s="46" t="n"/>
      <c r="BN2" s="46" t="n"/>
      <c r="BO2" s="46" t="n"/>
      <c r="BP2" s="46" t="n"/>
      <c r="BQ2" s="47" t="n"/>
    </row>
    <row r="3" ht="14" customHeight="1">
      <c r="A3" s="49" t="inlineStr">
        <is>
          <t>Ano ▼</t>
        </is>
      </c>
      <c r="B3" s="50" t="n"/>
      <c r="C3" s="50" t="n"/>
      <c r="D3" s="51" t="inlineStr">
        <is>
          <t>Responsável pela programação ▼</t>
        </is>
      </c>
      <c r="E3" s="50" t="n"/>
      <c r="F3" s="51" t="inlineStr">
        <is>
          <t>Atividades</t>
        </is>
      </c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1" t="inlineStr">
        <is>
          <t>Marcações</t>
        </is>
      </c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1" t="inlineStr">
        <is>
          <t>Realizadas</t>
        </is>
      </c>
      <c r="AF3" s="50" t="n"/>
      <c r="AG3" s="50" t="n"/>
      <c r="AH3" s="50" t="n"/>
      <c r="AI3" s="50" t="n"/>
      <c r="AJ3" s="50" t="n"/>
      <c r="AK3" s="50" t="n"/>
      <c r="AL3" s="50" t="n"/>
      <c r="AM3" s="50" t="n"/>
      <c r="AN3" s="50" t="n"/>
      <c r="AO3" s="50" t="n"/>
      <c r="AP3" s="50" t="n"/>
      <c r="AQ3" s="50" t="n"/>
      <c r="AR3" s="51" t="inlineStr">
        <is>
          <t>Reprogramadas</t>
        </is>
      </c>
      <c r="AS3" s="50" t="n"/>
      <c r="AT3" s="50" t="n"/>
      <c r="AU3" s="50" t="n"/>
      <c r="AV3" s="50" t="n"/>
      <c r="AW3" s="50" t="n"/>
      <c r="AX3" s="50" t="n"/>
      <c r="AY3" s="50" t="n"/>
      <c r="AZ3" s="50" t="n"/>
      <c r="BA3" s="50" t="n"/>
      <c r="BB3" s="50" t="n"/>
      <c r="BC3" s="50" t="n"/>
      <c r="BD3" s="50" t="n"/>
      <c r="BE3" s="51" t="inlineStr">
        <is>
          <t>Concluídas</t>
        </is>
      </c>
      <c r="BF3" s="50" t="n"/>
      <c r="BG3" s="50" t="n"/>
      <c r="BH3" s="50" t="n"/>
      <c r="BI3" s="50" t="n"/>
      <c r="BJ3" s="50" t="n"/>
      <c r="BK3" s="50" t="n"/>
      <c r="BL3" s="50" t="n"/>
      <c r="BM3" s="50" t="n"/>
      <c r="BN3" s="50" t="n"/>
      <c r="BO3" s="52" t="inlineStr">
        <is>
          <t>% realizado</t>
        </is>
      </c>
      <c r="BP3" s="50" t="n"/>
      <c r="BQ3" s="82" t="n"/>
    </row>
    <row r="4" ht="24" customHeight="1">
      <c r="A4" s="53" t="n"/>
      <c r="B4" s="20" t="n"/>
      <c r="C4" s="54" t="n"/>
      <c r="D4" s="53" t="n"/>
      <c r="E4" s="54" t="n"/>
      <c r="F4" s="55">
        <f>COUNTIF(D10:D39,"?*")</f>
        <v/>
      </c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56" t="n"/>
      <c r="S4" s="57">
        <f>SUM(BN10:BN39)</f>
        <v/>
      </c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56" t="n"/>
      <c r="AE4" s="58">
        <f>SUM(BO10:BO39)</f>
        <v/>
      </c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56" t="n"/>
      <c r="AR4" s="59">
        <f>COUNTIF(F10:BM39,"R")</f>
        <v/>
      </c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56" t="n"/>
      <c r="BE4" s="58">
        <f>COUNTIF(BQ10:BQ39,"Concluída")</f>
        <v/>
      </c>
      <c r="BF4" s="25" t="n"/>
      <c r="BG4" s="25" t="n"/>
      <c r="BH4" s="25" t="n"/>
      <c r="BI4" s="25" t="n"/>
      <c r="BJ4" s="25" t="n"/>
      <c r="BK4" s="25" t="n"/>
      <c r="BL4" s="25" t="n"/>
      <c r="BM4" s="25" t="n"/>
      <c r="BN4" s="56" t="n"/>
      <c r="BO4" s="83">
        <f>IF(N(S4)=0,"",AE4/S4)</f>
        <v/>
      </c>
      <c r="BP4" s="25" t="n"/>
      <c r="BQ4" s="56" t="n"/>
    </row>
    <row r="5" ht="8" customHeight="1">
      <c r="A5" s="61" t="n"/>
      <c r="B5" s="61" t="n"/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  <c r="AA5" s="61" t="n"/>
      <c r="AB5" s="61" t="n"/>
      <c r="AC5" s="61" t="n"/>
      <c r="AD5" s="61" t="n"/>
      <c r="AE5" s="61" t="n"/>
      <c r="AF5" s="61" t="n"/>
      <c r="AG5" s="61" t="n"/>
      <c r="AH5" s="61" t="n"/>
      <c r="AI5" s="61" t="n"/>
      <c r="AJ5" s="61" t="n"/>
      <c r="AK5" s="61" t="n"/>
      <c r="AL5" s="61" t="n"/>
      <c r="AM5" s="61" t="n"/>
      <c r="AN5" s="61" t="n"/>
      <c r="AO5" s="61" t="n"/>
      <c r="AP5" s="61" t="n"/>
      <c r="AQ5" s="61" t="n"/>
      <c r="AR5" s="61" t="n"/>
      <c r="AS5" s="61" t="n"/>
      <c r="AT5" s="61" t="n"/>
      <c r="AU5" s="61" t="n"/>
      <c r="AV5" s="61" t="n"/>
      <c r="AW5" s="61" t="n"/>
      <c r="AX5" s="61" t="n"/>
      <c r="AY5" s="61" t="n"/>
      <c r="AZ5" s="61" t="n"/>
      <c r="BA5" s="61" t="n"/>
      <c r="BB5" s="61" t="n"/>
      <c r="BC5" s="61" t="n"/>
      <c r="BD5" s="61" t="n"/>
      <c r="BE5" s="61" t="n"/>
      <c r="BF5" s="61" t="n"/>
      <c r="BG5" s="61" t="n"/>
      <c r="BH5" s="61" t="n"/>
      <c r="BI5" s="61" t="n"/>
      <c r="BJ5" s="61" t="n"/>
      <c r="BK5" s="61" t="n"/>
      <c r="BL5" s="61" t="n"/>
      <c r="BM5" s="61" t="n"/>
      <c r="BN5" s="61" t="n"/>
      <c r="BO5" s="61" t="n"/>
      <c r="BP5" s="61" t="n"/>
      <c r="BQ5" s="61" t="n"/>
    </row>
    <row r="6" ht="4" customHeight="1">
      <c r="A6" s="61" t="n"/>
      <c r="B6" s="61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1" t="n"/>
      <c r="AK6" s="61" t="n"/>
      <c r="AL6" s="61" t="n"/>
      <c r="AM6" s="61" t="n"/>
      <c r="AN6" s="61" t="n"/>
      <c r="AO6" s="61" t="n"/>
      <c r="AP6" s="61" t="n"/>
      <c r="AQ6" s="61" t="n"/>
      <c r="AR6" s="61" t="n"/>
      <c r="AS6" s="61" t="n"/>
      <c r="AT6" s="61" t="n"/>
      <c r="AU6" s="61" t="n"/>
      <c r="AV6" s="61" t="n"/>
      <c r="AW6" s="61" t="n"/>
      <c r="AX6" s="61" t="n"/>
      <c r="AY6" s="61" t="n"/>
      <c r="AZ6" s="61" t="n"/>
      <c r="BA6" s="61" t="n"/>
      <c r="BB6" s="61" t="n"/>
      <c r="BC6" s="61" t="n"/>
      <c r="BD6" s="61" t="n"/>
      <c r="BE6" s="61" t="n"/>
      <c r="BF6" s="61" t="n"/>
      <c r="BG6" s="61" t="n"/>
      <c r="BH6" s="61" t="n"/>
      <c r="BI6" s="61" t="n"/>
      <c r="BJ6" s="61" t="n"/>
      <c r="BK6" s="61" t="n"/>
      <c r="BL6" s="61" t="n"/>
      <c r="BM6" s="61" t="n"/>
      <c r="BN6" s="61" t="n"/>
      <c r="BO6" s="61" t="n"/>
      <c r="BP6" s="61" t="n"/>
      <c r="BQ6" s="61" t="n"/>
    </row>
    <row r="7" ht="4" customHeight="1">
      <c r="A7" s="61" t="n"/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  <c r="AA7" s="61" t="n"/>
      <c r="AB7" s="61" t="n"/>
      <c r="AC7" s="61" t="n"/>
      <c r="AD7" s="61" t="n"/>
      <c r="AE7" s="61" t="n"/>
      <c r="AF7" s="61" t="n"/>
      <c r="AG7" s="61" t="n"/>
      <c r="AH7" s="61" t="n"/>
      <c r="AI7" s="61" t="n"/>
      <c r="AJ7" s="61" t="n"/>
      <c r="AK7" s="61" t="n"/>
      <c r="AL7" s="61" t="n"/>
      <c r="AM7" s="61" t="n"/>
      <c r="AN7" s="61" t="n"/>
      <c r="AO7" s="61" t="n"/>
      <c r="AP7" s="61" t="n"/>
      <c r="AQ7" s="61" t="n"/>
      <c r="AR7" s="61" t="n"/>
      <c r="AS7" s="61" t="n"/>
      <c r="AT7" s="61" t="n"/>
      <c r="AU7" s="61" t="n"/>
      <c r="AV7" s="61" t="n"/>
      <c r="AW7" s="61" t="n"/>
      <c r="AX7" s="61" t="n"/>
      <c r="AY7" s="61" t="n"/>
      <c r="AZ7" s="61" t="n"/>
      <c r="BA7" s="61" t="n"/>
      <c r="BB7" s="61" t="n"/>
      <c r="BC7" s="61" t="n"/>
      <c r="BD7" s="61" t="n"/>
      <c r="BE7" s="61" t="n"/>
      <c r="BF7" s="61" t="n"/>
      <c r="BG7" s="61" t="n"/>
      <c r="BH7" s="61" t="n"/>
      <c r="BI7" s="61" t="n"/>
      <c r="BJ7" s="61" t="n"/>
      <c r="BK7" s="61" t="n"/>
      <c r="BL7" s="61" t="n"/>
      <c r="BM7" s="61" t="n"/>
      <c r="BN7" s="61" t="n"/>
      <c r="BO7" s="61" t="n"/>
      <c r="BP7" s="61" t="n"/>
      <c r="BQ7" s="61" t="n"/>
    </row>
    <row r="8" ht="17" customHeight="1">
      <c r="A8" s="62" t="inlineStr">
        <is>
          <t>Nº</t>
        </is>
      </c>
      <c r="B8" s="63" t="inlineStr">
        <is>
          <t>TAG ▼</t>
        </is>
      </c>
      <c r="C8" s="63" t="inlineStr">
        <is>
          <t>Equipamento</t>
        </is>
      </c>
      <c r="D8" s="63" t="inlineStr">
        <is>
          <t>Atividade</t>
        </is>
      </c>
      <c r="E8" s="63" t="inlineStr">
        <is>
          <t>Responsável ▼</t>
        </is>
      </c>
      <c r="F8" s="84" t="inlineStr">
        <is>
          <t>JAN</t>
        </is>
      </c>
      <c r="G8" s="85" t="n"/>
      <c r="H8" s="85" t="n"/>
      <c r="I8" s="85" t="n"/>
      <c r="J8" s="85" t="n"/>
      <c r="K8" s="84" t="inlineStr">
        <is>
          <t>FEV</t>
        </is>
      </c>
      <c r="L8" s="85" t="n"/>
      <c r="M8" s="85" t="n"/>
      <c r="N8" s="85" t="n"/>
      <c r="O8" s="85" t="n"/>
      <c r="P8" s="84" t="inlineStr">
        <is>
          <t>MAR</t>
        </is>
      </c>
      <c r="Q8" s="85" t="n"/>
      <c r="R8" s="85" t="n"/>
      <c r="S8" s="85" t="n"/>
      <c r="T8" s="85" t="n"/>
      <c r="U8" s="84" t="inlineStr">
        <is>
          <t>ABR</t>
        </is>
      </c>
      <c r="V8" s="85" t="n"/>
      <c r="W8" s="85" t="n"/>
      <c r="X8" s="85" t="n"/>
      <c r="Y8" s="85" t="n"/>
      <c r="Z8" s="84" t="inlineStr">
        <is>
          <t>MAI</t>
        </is>
      </c>
      <c r="AA8" s="85" t="n"/>
      <c r="AB8" s="85" t="n"/>
      <c r="AC8" s="85" t="n"/>
      <c r="AD8" s="85" t="n"/>
      <c r="AE8" s="84" t="inlineStr">
        <is>
          <t>JUN</t>
        </is>
      </c>
      <c r="AF8" s="85" t="n"/>
      <c r="AG8" s="85" t="n"/>
      <c r="AH8" s="85" t="n"/>
      <c r="AI8" s="85" t="n"/>
      <c r="AJ8" s="84" t="inlineStr">
        <is>
          <t>JUL</t>
        </is>
      </c>
      <c r="AK8" s="85" t="n"/>
      <c r="AL8" s="85" t="n"/>
      <c r="AM8" s="85" t="n"/>
      <c r="AN8" s="85" t="n"/>
      <c r="AO8" s="84" t="inlineStr">
        <is>
          <t>AGO</t>
        </is>
      </c>
      <c r="AP8" s="85" t="n"/>
      <c r="AQ8" s="85" t="n"/>
      <c r="AR8" s="85" t="n"/>
      <c r="AS8" s="85" t="n"/>
      <c r="AT8" s="84" t="inlineStr">
        <is>
          <t>SET</t>
        </is>
      </c>
      <c r="AU8" s="85" t="n"/>
      <c r="AV8" s="85" t="n"/>
      <c r="AW8" s="85" t="n"/>
      <c r="AX8" s="85" t="n"/>
      <c r="AY8" s="84" t="inlineStr">
        <is>
          <t>OUT</t>
        </is>
      </c>
      <c r="AZ8" s="85" t="n"/>
      <c r="BA8" s="85" t="n"/>
      <c r="BB8" s="85" t="n"/>
      <c r="BC8" s="85" t="n"/>
      <c r="BD8" s="84" t="inlineStr">
        <is>
          <t>NOV</t>
        </is>
      </c>
      <c r="BE8" s="85" t="n"/>
      <c r="BF8" s="85" t="n"/>
      <c r="BG8" s="85" t="n"/>
      <c r="BH8" s="85" t="n"/>
      <c r="BI8" s="84" t="inlineStr">
        <is>
          <t>DEZ</t>
        </is>
      </c>
      <c r="BJ8" s="85" t="n"/>
      <c r="BK8" s="85" t="n"/>
      <c r="BL8" s="85" t="n"/>
      <c r="BM8" s="85" t="n"/>
      <c r="BN8" s="65" t="inlineStr">
        <is>
          <t>Plan.</t>
        </is>
      </c>
      <c r="BO8" s="65" t="inlineStr">
        <is>
          <t>Real.</t>
        </is>
      </c>
      <c r="BP8" s="65" t="inlineStr">
        <is>
          <t>%</t>
        </is>
      </c>
      <c r="BQ8" s="66" t="inlineStr">
        <is>
          <t>Situação</t>
        </is>
      </c>
    </row>
    <row r="9" ht="16" customHeight="1">
      <c r="A9" s="67" t="n"/>
      <c r="B9" s="68" t="n"/>
      <c r="C9" s="68" t="n"/>
      <c r="D9" s="68" t="n"/>
      <c r="E9" s="68" t="n"/>
      <c r="F9" s="91" t="n">
        <v>1</v>
      </c>
      <c r="G9" s="92" t="n">
        <v>2</v>
      </c>
      <c r="H9" s="92" t="n">
        <v>3</v>
      </c>
      <c r="I9" s="92" t="n">
        <v>4</v>
      </c>
      <c r="J9" s="92" t="n">
        <v>5</v>
      </c>
      <c r="K9" s="91" t="n">
        <v>1</v>
      </c>
      <c r="L9" s="92" t="n">
        <v>2</v>
      </c>
      <c r="M9" s="92" t="n">
        <v>3</v>
      </c>
      <c r="N9" s="92" t="n">
        <v>4</v>
      </c>
      <c r="O9" s="92" t="n">
        <v>5</v>
      </c>
      <c r="P9" s="91" t="n">
        <v>1</v>
      </c>
      <c r="Q9" s="92" t="n">
        <v>2</v>
      </c>
      <c r="R9" s="92" t="n">
        <v>3</v>
      </c>
      <c r="S9" s="92" t="n">
        <v>4</v>
      </c>
      <c r="T9" s="92" t="n">
        <v>5</v>
      </c>
      <c r="U9" s="91" t="n">
        <v>1</v>
      </c>
      <c r="V9" s="92" t="n">
        <v>2</v>
      </c>
      <c r="W9" s="92" t="n">
        <v>3</v>
      </c>
      <c r="X9" s="92" t="n">
        <v>4</v>
      </c>
      <c r="Y9" s="92" t="n">
        <v>5</v>
      </c>
      <c r="Z9" s="91" t="n">
        <v>1</v>
      </c>
      <c r="AA9" s="92" t="n">
        <v>2</v>
      </c>
      <c r="AB9" s="92" t="n">
        <v>3</v>
      </c>
      <c r="AC9" s="92" t="n">
        <v>4</v>
      </c>
      <c r="AD9" s="92" t="n">
        <v>5</v>
      </c>
      <c r="AE9" s="91" t="n">
        <v>1</v>
      </c>
      <c r="AF9" s="92" t="n">
        <v>2</v>
      </c>
      <c r="AG9" s="92" t="n">
        <v>3</v>
      </c>
      <c r="AH9" s="92" t="n">
        <v>4</v>
      </c>
      <c r="AI9" s="92" t="n">
        <v>5</v>
      </c>
      <c r="AJ9" s="91" t="n">
        <v>1</v>
      </c>
      <c r="AK9" s="92" t="n">
        <v>2</v>
      </c>
      <c r="AL9" s="92" t="n">
        <v>3</v>
      </c>
      <c r="AM9" s="92" t="n">
        <v>4</v>
      </c>
      <c r="AN9" s="92" t="n">
        <v>5</v>
      </c>
      <c r="AO9" s="91" t="n">
        <v>1</v>
      </c>
      <c r="AP9" s="92" t="n">
        <v>2</v>
      </c>
      <c r="AQ9" s="92" t="n">
        <v>3</v>
      </c>
      <c r="AR9" s="92" t="n">
        <v>4</v>
      </c>
      <c r="AS9" s="92" t="n">
        <v>5</v>
      </c>
      <c r="AT9" s="91" t="n">
        <v>1</v>
      </c>
      <c r="AU9" s="92" t="n">
        <v>2</v>
      </c>
      <c r="AV9" s="92" t="n">
        <v>3</v>
      </c>
      <c r="AW9" s="92" t="n">
        <v>4</v>
      </c>
      <c r="AX9" s="92" t="n">
        <v>5</v>
      </c>
      <c r="AY9" s="91" t="n">
        <v>1</v>
      </c>
      <c r="AZ9" s="92" t="n">
        <v>2</v>
      </c>
      <c r="BA9" s="92" t="n">
        <v>3</v>
      </c>
      <c r="BB9" s="92" t="n">
        <v>4</v>
      </c>
      <c r="BC9" s="92" t="n">
        <v>5</v>
      </c>
      <c r="BD9" s="91" t="n">
        <v>1</v>
      </c>
      <c r="BE9" s="92" t="n">
        <v>2</v>
      </c>
      <c r="BF9" s="92" t="n">
        <v>3</v>
      </c>
      <c r="BG9" s="92" t="n">
        <v>4</v>
      </c>
      <c r="BH9" s="92" t="n">
        <v>5</v>
      </c>
      <c r="BI9" s="91" t="n">
        <v>1</v>
      </c>
      <c r="BJ9" s="92" t="n">
        <v>2</v>
      </c>
      <c r="BK9" s="92" t="n">
        <v>3</v>
      </c>
      <c r="BL9" s="92" t="n">
        <v>4</v>
      </c>
      <c r="BM9" s="92" t="n">
        <v>5</v>
      </c>
      <c r="BN9" s="70" t="n"/>
      <c r="BO9" s="70" t="n"/>
      <c r="BP9" s="70" t="n"/>
      <c r="BQ9" s="71" t="n"/>
    </row>
    <row r="10" ht="19" customHeight="1">
      <c r="A10" s="72" t="n">
        <v>1</v>
      </c>
      <c r="B10" s="73" t="n"/>
      <c r="C10" s="74">
        <f>IF(B10="","",IFERROR(INDEX(tb_pcm_ativos[descricao_ativo],MATCH(B10,tb_pcm_ativos[tag],0)),"fora do cadastro"))</f>
        <v/>
      </c>
      <c r="D10" s="75" t="n"/>
      <c r="E10" s="76" t="n"/>
      <c r="F10" s="77" t="n"/>
      <c r="G10" s="77" t="n"/>
      <c r="H10" s="77" t="n"/>
      <c r="I10" s="77" t="n"/>
      <c r="J10" s="77" t="n"/>
      <c r="K10" s="89" t="n"/>
      <c r="L10" s="77" t="n"/>
      <c r="M10" s="77" t="n"/>
      <c r="N10" s="77" t="n"/>
      <c r="O10" s="77" t="n"/>
      <c r="P10" s="89" t="n"/>
      <c r="Q10" s="77" t="n"/>
      <c r="R10" s="77" t="n"/>
      <c r="S10" s="77" t="n"/>
      <c r="T10" s="77" t="n"/>
      <c r="U10" s="89" t="n"/>
      <c r="V10" s="77" t="n"/>
      <c r="W10" s="77" t="n"/>
      <c r="X10" s="77" t="n"/>
      <c r="Y10" s="77" t="n"/>
      <c r="Z10" s="89" t="n"/>
      <c r="AA10" s="77" t="n"/>
      <c r="AB10" s="77" t="n"/>
      <c r="AC10" s="77" t="n"/>
      <c r="AD10" s="77" t="n"/>
      <c r="AE10" s="89" t="n"/>
      <c r="AF10" s="77" t="n"/>
      <c r="AG10" s="77" t="n"/>
      <c r="AH10" s="77" t="n"/>
      <c r="AI10" s="77" t="n"/>
      <c r="AJ10" s="89" t="n"/>
      <c r="AK10" s="77" t="n"/>
      <c r="AL10" s="77" t="n"/>
      <c r="AM10" s="77" t="n"/>
      <c r="AN10" s="77" t="n"/>
      <c r="AO10" s="89" t="n"/>
      <c r="AP10" s="77" t="n"/>
      <c r="AQ10" s="77" t="n"/>
      <c r="AR10" s="77" t="n"/>
      <c r="AS10" s="77" t="n"/>
      <c r="AT10" s="89" t="n"/>
      <c r="AU10" s="77" t="n"/>
      <c r="AV10" s="77" t="n"/>
      <c r="AW10" s="77" t="n"/>
      <c r="AX10" s="77" t="n"/>
      <c r="AY10" s="89" t="n"/>
      <c r="AZ10" s="77" t="n"/>
      <c r="BA10" s="77" t="n"/>
      <c r="BB10" s="77" t="n"/>
      <c r="BC10" s="77" t="n"/>
      <c r="BD10" s="89" t="n"/>
      <c r="BE10" s="77" t="n"/>
      <c r="BF10" s="77" t="n"/>
      <c r="BG10" s="77" t="n"/>
      <c r="BH10" s="77" t="n"/>
      <c r="BI10" s="89" t="n"/>
      <c r="BJ10" s="77" t="n"/>
      <c r="BK10" s="77" t="n"/>
      <c r="BL10" s="77" t="n"/>
      <c r="BM10" s="77" t="n"/>
      <c r="BN10" s="90">
        <f>IF(COUNTA($F10:$BM10)=0,"",COUNTIF($F10:$BM10,"●")+COUNTIF($F10:$BM10,"✔")+COUNTIF($F10:$BM10,"R"))</f>
        <v/>
      </c>
      <c r="BO10" s="78">
        <f>IF(BN10="","",COUNTIF($F10:$BM10,"✔"))</f>
        <v/>
      </c>
      <c r="BP10" s="79">
        <f>IF(N(BN10)=0,"",BO10/BN10)</f>
        <v/>
      </c>
      <c r="BQ10" s="80">
        <f>IF(N(BN10)=0,"",IF(BO10=BN10,"Concluída",IF(COUNTIF($F10:$BM10,"R")&gt;0,"Reprogramada",IF(BO10&gt;0,"Em andamento","Planejada"))))</f>
        <v/>
      </c>
    </row>
    <row r="11" ht="19" customHeight="1">
      <c r="A11" s="72" t="n">
        <v>2</v>
      </c>
      <c r="B11" s="73" t="n"/>
      <c r="C11" s="74">
        <f>IF(B11="","",IFERROR(INDEX(tb_pcm_ativos[descricao_ativo],MATCH(B11,tb_pcm_ativos[tag],0)),"fora do cadastro"))</f>
        <v/>
      </c>
      <c r="D11" s="75" t="n"/>
      <c r="E11" s="76" t="n"/>
      <c r="F11" s="77" t="n"/>
      <c r="G11" s="77" t="n"/>
      <c r="H11" s="77" t="n"/>
      <c r="I11" s="77" t="n"/>
      <c r="J11" s="77" t="n"/>
      <c r="K11" s="89" t="n"/>
      <c r="L11" s="77" t="n"/>
      <c r="M11" s="77" t="n"/>
      <c r="N11" s="77" t="n"/>
      <c r="O11" s="77" t="n"/>
      <c r="P11" s="89" t="n"/>
      <c r="Q11" s="77" t="n"/>
      <c r="R11" s="77" t="n"/>
      <c r="S11" s="77" t="n"/>
      <c r="T11" s="77" t="n"/>
      <c r="U11" s="89" t="n"/>
      <c r="V11" s="77" t="n"/>
      <c r="W11" s="77" t="n"/>
      <c r="X11" s="77" t="n"/>
      <c r="Y11" s="77" t="n"/>
      <c r="Z11" s="89" t="n"/>
      <c r="AA11" s="77" t="n"/>
      <c r="AB11" s="77" t="n"/>
      <c r="AC11" s="77" t="n"/>
      <c r="AD11" s="77" t="n"/>
      <c r="AE11" s="89" t="n"/>
      <c r="AF11" s="77" t="n"/>
      <c r="AG11" s="77" t="n"/>
      <c r="AH11" s="77" t="n"/>
      <c r="AI11" s="77" t="n"/>
      <c r="AJ11" s="89" t="n"/>
      <c r="AK11" s="77" t="n"/>
      <c r="AL11" s="77" t="n"/>
      <c r="AM11" s="77" t="n"/>
      <c r="AN11" s="77" t="n"/>
      <c r="AO11" s="89" t="n"/>
      <c r="AP11" s="77" t="n"/>
      <c r="AQ11" s="77" t="n"/>
      <c r="AR11" s="77" t="n"/>
      <c r="AS11" s="77" t="n"/>
      <c r="AT11" s="89" t="n"/>
      <c r="AU11" s="77" t="n"/>
      <c r="AV11" s="77" t="n"/>
      <c r="AW11" s="77" t="n"/>
      <c r="AX11" s="77" t="n"/>
      <c r="AY11" s="89" t="n"/>
      <c r="AZ11" s="77" t="n"/>
      <c r="BA11" s="77" t="n"/>
      <c r="BB11" s="77" t="n"/>
      <c r="BC11" s="77" t="n"/>
      <c r="BD11" s="89" t="n"/>
      <c r="BE11" s="77" t="n"/>
      <c r="BF11" s="77" t="n"/>
      <c r="BG11" s="77" t="n"/>
      <c r="BH11" s="77" t="n"/>
      <c r="BI11" s="89" t="n"/>
      <c r="BJ11" s="77" t="n"/>
      <c r="BK11" s="77" t="n"/>
      <c r="BL11" s="77" t="n"/>
      <c r="BM11" s="77" t="n"/>
      <c r="BN11" s="90">
        <f>IF(COUNTA($F11:$BM11)=0,"",COUNTIF($F11:$BM11,"●")+COUNTIF($F11:$BM11,"✔")+COUNTIF($F11:$BM11,"R"))</f>
        <v/>
      </c>
      <c r="BO11" s="78">
        <f>IF(BN11="","",COUNTIF($F11:$BM11,"✔"))</f>
        <v/>
      </c>
      <c r="BP11" s="79">
        <f>IF(N(BN11)=0,"",BO11/BN11)</f>
        <v/>
      </c>
      <c r="BQ11" s="80">
        <f>IF(N(BN11)=0,"",IF(BO11=BN11,"Concluída",IF(COUNTIF($F11:$BM11,"R")&gt;0,"Reprogramada",IF(BO11&gt;0,"Em andamento","Planejada"))))</f>
        <v/>
      </c>
    </row>
    <row r="12" ht="19" customHeight="1">
      <c r="A12" s="72" t="n">
        <v>3</v>
      </c>
      <c r="B12" s="73" t="n"/>
      <c r="C12" s="74">
        <f>IF(B12="","",IFERROR(INDEX(tb_pcm_ativos[descricao_ativo],MATCH(B12,tb_pcm_ativos[tag],0)),"fora do cadastro"))</f>
        <v/>
      </c>
      <c r="D12" s="75" t="n"/>
      <c r="E12" s="76" t="n"/>
      <c r="F12" s="77" t="n"/>
      <c r="G12" s="77" t="n"/>
      <c r="H12" s="77" t="n"/>
      <c r="I12" s="77" t="n"/>
      <c r="J12" s="77" t="n"/>
      <c r="K12" s="89" t="n"/>
      <c r="L12" s="77" t="n"/>
      <c r="M12" s="77" t="n"/>
      <c r="N12" s="77" t="n"/>
      <c r="O12" s="77" t="n"/>
      <c r="P12" s="89" t="n"/>
      <c r="Q12" s="77" t="n"/>
      <c r="R12" s="77" t="n"/>
      <c r="S12" s="77" t="n"/>
      <c r="T12" s="77" t="n"/>
      <c r="U12" s="89" t="n"/>
      <c r="V12" s="77" t="n"/>
      <c r="W12" s="77" t="n"/>
      <c r="X12" s="77" t="n"/>
      <c r="Y12" s="77" t="n"/>
      <c r="Z12" s="89" t="n"/>
      <c r="AA12" s="77" t="n"/>
      <c r="AB12" s="77" t="n"/>
      <c r="AC12" s="77" t="n"/>
      <c r="AD12" s="77" t="n"/>
      <c r="AE12" s="89" t="n"/>
      <c r="AF12" s="77" t="n"/>
      <c r="AG12" s="77" t="n"/>
      <c r="AH12" s="77" t="n"/>
      <c r="AI12" s="77" t="n"/>
      <c r="AJ12" s="89" t="n"/>
      <c r="AK12" s="77" t="n"/>
      <c r="AL12" s="77" t="n"/>
      <c r="AM12" s="77" t="n"/>
      <c r="AN12" s="77" t="n"/>
      <c r="AO12" s="89" t="n"/>
      <c r="AP12" s="77" t="n"/>
      <c r="AQ12" s="77" t="n"/>
      <c r="AR12" s="77" t="n"/>
      <c r="AS12" s="77" t="n"/>
      <c r="AT12" s="89" t="n"/>
      <c r="AU12" s="77" t="n"/>
      <c r="AV12" s="77" t="n"/>
      <c r="AW12" s="77" t="n"/>
      <c r="AX12" s="77" t="n"/>
      <c r="AY12" s="89" t="n"/>
      <c r="AZ12" s="77" t="n"/>
      <c r="BA12" s="77" t="n"/>
      <c r="BB12" s="77" t="n"/>
      <c r="BC12" s="77" t="n"/>
      <c r="BD12" s="89" t="n"/>
      <c r="BE12" s="77" t="n"/>
      <c r="BF12" s="77" t="n"/>
      <c r="BG12" s="77" t="n"/>
      <c r="BH12" s="77" t="n"/>
      <c r="BI12" s="89" t="n"/>
      <c r="BJ12" s="77" t="n"/>
      <c r="BK12" s="77" t="n"/>
      <c r="BL12" s="77" t="n"/>
      <c r="BM12" s="77" t="n"/>
      <c r="BN12" s="90">
        <f>IF(COUNTA($F12:$BM12)=0,"",COUNTIF($F12:$BM12,"●")+COUNTIF($F12:$BM12,"✔")+COUNTIF($F12:$BM12,"R"))</f>
        <v/>
      </c>
      <c r="BO12" s="78">
        <f>IF(BN12="","",COUNTIF($F12:$BM12,"✔"))</f>
        <v/>
      </c>
      <c r="BP12" s="79">
        <f>IF(N(BN12)=0,"",BO12/BN12)</f>
        <v/>
      </c>
      <c r="BQ12" s="80">
        <f>IF(N(BN12)=0,"",IF(BO12=BN12,"Concluída",IF(COUNTIF($F12:$BM12,"R")&gt;0,"Reprogramada",IF(BO12&gt;0,"Em andamento","Planejada"))))</f>
        <v/>
      </c>
    </row>
    <row r="13" ht="19" customHeight="1">
      <c r="A13" s="72" t="n">
        <v>4</v>
      </c>
      <c r="B13" s="73" t="n"/>
      <c r="C13" s="74">
        <f>IF(B13="","",IFERROR(INDEX(tb_pcm_ativos[descricao_ativo],MATCH(B13,tb_pcm_ativos[tag],0)),"fora do cadastro"))</f>
        <v/>
      </c>
      <c r="D13" s="75" t="n"/>
      <c r="E13" s="76" t="n"/>
      <c r="F13" s="77" t="n"/>
      <c r="G13" s="77" t="n"/>
      <c r="H13" s="77" t="n"/>
      <c r="I13" s="77" t="n"/>
      <c r="J13" s="77" t="n"/>
      <c r="K13" s="89" t="n"/>
      <c r="L13" s="77" t="n"/>
      <c r="M13" s="77" t="n"/>
      <c r="N13" s="77" t="n"/>
      <c r="O13" s="77" t="n"/>
      <c r="P13" s="89" t="n"/>
      <c r="Q13" s="77" t="n"/>
      <c r="R13" s="77" t="n"/>
      <c r="S13" s="77" t="n"/>
      <c r="T13" s="77" t="n"/>
      <c r="U13" s="89" t="n"/>
      <c r="V13" s="77" t="n"/>
      <c r="W13" s="77" t="n"/>
      <c r="X13" s="77" t="n"/>
      <c r="Y13" s="77" t="n"/>
      <c r="Z13" s="89" t="n"/>
      <c r="AA13" s="77" t="n"/>
      <c r="AB13" s="77" t="n"/>
      <c r="AC13" s="77" t="n"/>
      <c r="AD13" s="77" t="n"/>
      <c r="AE13" s="89" t="n"/>
      <c r="AF13" s="77" t="n"/>
      <c r="AG13" s="77" t="n"/>
      <c r="AH13" s="77" t="n"/>
      <c r="AI13" s="77" t="n"/>
      <c r="AJ13" s="89" t="n"/>
      <c r="AK13" s="77" t="n"/>
      <c r="AL13" s="77" t="n"/>
      <c r="AM13" s="77" t="n"/>
      <c r="AN13" s="77" t="n"/>
      <c r="AO13" s="89" t="n"/>
      <c r="AP13" s="77" t="n"/>
      <c r="AQ13" s="77" t="n"/>
      <c r="AR13" s="77" t="n"/>
      <c r="AS13" s="77" t="n"/>
      <c r="AT13" s="89" t="n"/>
      <c r="AU13" s="77" t="n"/>
      <c r="AV13" s="77" t="n"/>
      <c r="AW13" s="77" t="n"/>
      <c r="AX13" s="77" t="n"/>
      <c r="AY13" s="89" t="n"/>
      <c r="AZ13" s="77" t="n"/>
      <c r="BA13" s="77" t="n"/>
      <c r="BB13" s="77" t="n"/>
      <c r="BC13" s="77" t="n"/>
      <c r="BD13" s="89" t="n"/>
      <c r="BE13" s="77" t="n"/>
      <c r="BF13" s="77" t="n"/>
      <c r="BG13" s="77" t="n"/>
      <c r="BH13" s="77" t="n"/>
      <c r="BI13" s="89" t="n"/>
      <c r="BJ13" s="77" t="n"/>
      <c r="BK13" s="77" t="n"/>
      <c r="BL13" s="77" t="n"/>
      <c r="BM13" s="77" t="n"/>
      <c r="BN13" s="90">
        <f>IF(COUNTA($F13:$BM13)=0,"",COUNTIF($F13:$BM13,"●")+COUNTIF($F13:$BM13,"✔")+COUNTIF($F13:$BM13,"R"))</f>
        <v/>
      </c>
      <c r="BO13" s="78">
        <f>IF(BN13="","",COUNTIF($F13:$BM13,"✔"))</f>
        <v/>
      </c>
      <c r="BP13" s="79">
        <f>IF(N(BN13)=0,"",BO13/BN13)</f>
        <v/>
      </c>
      <c r="BQ13" s="80">
        <f>IF(N(BN13)=0,"",IF(BO13=BN13,"Concluída",IF(COUNTIF($F13:$BM13,"R")&gt;0,"Reprogramada",IF(BO13&gt;0,"Em andamento","Planejada"))))</f>
        <v/>
      </c>
    </row>
    <row r="14" ht="19" customHeight="1">
      <c r="A14" s="72" t="n">
        <v>5</v>
      </c>
      <c r="B14" s="73" t="n"/>
      <c r="C14" s="74">
        <f>IF(B14="","",IFERROR(INDEX(tb_pcm_ativos[descricao_ativo],MATCH(B14,tb_pcm_ativos[tag],0)),"fora do cadastro"))</f>
        <v/>
      </c>
      <c r="D14" s="75" t="n"/>
      <c r="E14" s="76" t="n"/>
      <c r="F14" s="77" t="n"/>
      <c r="G14" s="77" t="n"/>
      <c r="H14" s="77" t="n"/>
      <c r="I14" s="77" t="n"/>
      <c r="J14" s="77" t="n"/>
      <c r="K14" s="89" t="n"/>
      <c r="L14" s="77" t="n"/>
      <c r="M14" s="77" t="n"/>
      <c r="N14" s="77" t="n"/>
      <c r="O14" s="77" t="n"/>
      <c r="P14" s="89" t="n"/>
      <c r="Q14" s="77" t="n"/>
      <c r="R14" s="77" t="n"/>
      <c r="S14" s="77" t="n"/>
      <c r="T14" s="77" t="n"/>
      <c r="U14" s="89" t="n"/>
      <c r="V14" s="77" t="n"/>
      <c r="W14" s="77" t="n"/>
      <c r="X14" s="77" t="n"/>
      <c r="Y14" s="77" t="n"/>
      <c r="Z14" s="89" t="n"/>
      <c r="AA14" s="77" t="n"/>
      <c r="AB14" s="77" t="n"/>
      <c r="AC14" s="77" t="n"/>
      <c r="AD14" s="77" t="n"/>
      <c r="AE14" s="89" t="n"/>
      <c r="AF14" s="77" t="n"/>
      <c r="AG14" s="77" t="n"/>
      <c r="AH14" s="77" t="n"/>
      <c r="AI14" s="77" t="n"/>
      <c r="AJ14" s="89" t="n"/>
      <c r="AK14" s="77" t="n"/>
      <c r="AL14" s="77" t="n"/>
      <c r="AM14" s="77" t="n"/>
      <c r="AN14" s="77" t="n"/>
      <c r="AO14" s="89" t="n"/>
      <c r="AP14" s="77" t="n"/>
      <c r="AQ14" s="77" t="n"/>
      <c r="AR14" s="77" t="n"/>
      <c r="AS14" s="77" t="n"/>
      <c r="AT14" s="89" t="n"/>
      <c r="AU14" s="77" t="n"/>
      <c r="AV14" s="77" t="n"/>
      <c r="AW14" s="77" t="n"/>
      <c r="AX14" s="77" t="n"/>
      <c r="AY14" s="89" t="n"/>
      <c r="AZ14" s="77" t="n"/>
      <c r="BA14" s="77" t="n"/>
      <c r="BB14" s="77" t="n"/>
      <c r="BC14" s="77" t="n"/>
      <c r="BD14" s="89" t="n"/>
      <c r="BE14" s="77" t="n"/>
      <c r="BF14" s="77" t="n"/>
      <c r="BG14" s="77" t="n"/>
      <c r="BH14" s="77" t="n"/>
      <c r="BI14" s="89" t="n"/>
      <c r="BJ14" s="77" t="n"/>
      <c r="BK14" s="77" t="n"/>
      <c r="BL14" s="77" t="n"/>
      <c r="BM14" s="77" t="n"/>
      <c r="BN14" s="90">
        <f>IF(COUNTA($F14:$BM14)=0,"",COUNTIF($F14:$BM14,"●")+COUNTIF($F14:$BM14,"✔")+COUNTIF($F14:$BM14,"R"))</f>
        <v/>
      </c>
      <c r="BO14" s="78">
        <f>IF(BN14="","",COUNTIF($F14:$BM14,"✔"))</f>
        <v/>
      </c>
      <c r="BP14" s="79">
        <f>IF(N(BN14)=0,"",BO14/BN14)</f>
        <v/>
      </c>
      <c r="BQ14" s="80">
        <f>IF(N(BN14)=0,"",IF(BO14=BN14,"Concluída",IF(COUNTIF($F14:$BM14,"R")&gt;0,"Reprogramada",IF(BO14&gt;0,"Em andamento","Planejada"))))</f>
        <v/>
      </c>
    </row>
    <row r="15" ht="19" customHeight="1">
      <c r="A15" s="72" t="n">
        <v>6</v>
      </c>
      <c r="B15" s="73" t="n"/>
      <c r="C15" s="74">
        <f>IF(B15="","",IFERROR(INDEX(tb_pcm_ativos[descricao_ativo],MATCH(B15,tb_pcm_ativos[tag],0)),"fora do cadastro"))</f>
        <v/>
      </c>
      <c r="D15" s="75" t="n"/>
      <c r="E15" s="76" t="n"/>
      <c r="F15" s="77" t="n"/>
      <c r="G15" s="77" t="n"/>
      <c r="H15" s="77" t="n"/>
      <c r="I15" s="77" t="n"/>
      <c r="J15" s="77" t="n"/>
      <c r="K15" s="89" t="n"/>
      <c r="L15" s="77" t="n"/>
      <c r="M15" s="77" t="n"/>
      <c r="N15" s="77" t="n"/>
      <c r="O15" s="77" t="n"/>
      <c r="P15" s="89" t="n"/>
      <c r="Q15" s="77" t="n"/>
      <c r="R15" s="77" t="n"/>
      <c r="S15" s="77" t="n"/>
      <c r="T15" s="77" t="n"/>
      <c r="U15" s="89" t="n"/>
      <c r="V15" s="77" t="n"/>
      <c r="W15" s="77" t="n"/>
      <c r="X15" s="77" t="n"/>
      <c r="Y15" s="77" t="n"/>
      <c r="Z15" s="89" t="n"/>
      <c r="AA15" s="77" t="n"/>
      <c r="AB15" s="77" t="n"/>
      <c r="AC15" s="77" t="n"/>
      <c r="AD15" s="77" t="n"/>
      <c r="AE15" s="89" t="n"/>
      <c r="AF15" s="77" t="n"/>
      <c r="AG15" s="77" t="n"/>
      <c r="AH15" s="77" t="n"/>
      <c r="AI15" s="77" t="n"/>
      <c r="AJ15" s="89" t="n"/>
      <c r="AK15" s="77" t="n"/>
      <c r="AL15" s="77" t="n"/>
      <c r="AM15" s="77" t="n"/>
      <c r="AN15" s="77" t="n"/>
      <c r="AO15" s="89" t="n"/>
      <c r="AP15" s="77" t="n"/>
      <c r="AQ15" s="77" t="n"/>
      <c r="AR15" s="77" t="n"/>
      <c r="AS15" s="77" t="n"/>
      <c r="AT15" s="89" t="n"/>
      <c r="AU15" s="77" t="n"/>
      <c r="AV15" s="77" t="n"/>
      <c r="AW15" s="77" t="n"/>
      <c r="AX15" s="77" t="n"/>
      <c r="AY15" s="89" t="n"/>
      <c r="AZ15" s="77" t="n"/>
      <c r="BA15" s="77" t="n"/>
      <c r="BB15" s="77" t="n"/>
      <c r="BC15" s="77" t="n"/>
      <c r="BD15" s="89" t="n"/>
      <c r="BE15" s="77" t="n"/>
      <c r="BF15" s="77" t="n"/>
      <c r="BG15" s="77" t="n"/>
      <c r="BH15" s="77" t="n"/>
      <c r="BI15" s="89" t="n"/>
      <c r="BJ15" s="77" t="n"/>
      <c r="BK15" s="77" t="n"/>
      <c r="BL15" s="77" t="n"/>
      <c r="BM15" s="77" t="n"/>
      <c r="BN15" s="90">
        <f>IF(COUNTA($F15:$BM15)=0,"",COUNTIF($F15:$BM15,"●")+COUNTIF($F15:$BM15,"✔")+COUNTIF($F15:$BM15,"R"))</f>
        <v/>
      </c>
      <c r="BO15" s="78">
        <f>IF(BN15="","",COUNTIF($F15:$BM15,"✔"))</f>
        <v/>
      </c>
      <c r="BP15" s="79">
        <f>IF(N(BN15)=0,"",BO15/BN15)</f>
        <v/>
      </c>
      <c r="BQ15" s="80">
        <f>IF(N(BN15)=0,"",IF(BO15=BN15,"Concluída",IF(COUNTIF($F15:$BM15,"R")&gt;0,"Reprogramada",IF(BO15&gt;0,"Em andamento","Planejada"))))</f>
        <v/>
      </c>
    </row>
    <row r="16" ht="19" customHeight="1">
      <c r="A16" s="72" t="n">
        <v>7</v>
      </c>
      <c r="B16" s="73" t="n"/>
      <c r="C16" s="74">
        <f>IF(B16="","",IFERROR(INDEX(tb_pcm_ativos[descricao_ativo],MATCH(B16,tb_pcm_ativos[tag],0)),"fora do cadastro"))</f>
        <v/>
      </c>
      <c r="D16" s="75" t="n"/>
      <c r="E16" s="76" t="n"/>
      <c r="F16" s="77" t="n"/>
      <c r="G16" s="77" t="n"/>
      <c r="H16" s="77" t="n"/>
      <c r="I16" s="77" t="n"/>
      <c r="J16" s="77" t="n"/>
      <c r="K16" s="89" t="n"/>
      <c r="L16" s="77" t="n"/>
      <c r="M16" s="77" t="n"/>
      <c r="N16" s="77" t="n"/>
      <c r="O16" s="77" t="n"/>
      <c r="P16" s="89" t="n"/>
      <c r="Q16" s="77" t="n"/>
      <c r="R16" s="77" t="n"/>
      <c r="S16" s="77" t="n"/>
      <c r="T16" s="77" t="n"/>
      <c r="U16" s="89" t="n"/>
      <c r="V16" s="77" t="n"/>
      <c r="W16" s="77" t="n"/>
      <c r="X16" s="77" t="n"/>
      <c r="Y16" s="77" t="n"/>
      <c r="Z16" s="89" t="n"/>
      <c r="AA16" s="77" t="n"/>
      <c r="AB16" s="77" t="n"/>
      <c r="AC16" s="77" t="n"/>
      <c r="AD16" s="77" t="n"/>
      <c r="AE16" s="89" t="n"/>
      <c r="AF16" s="77" t="n"/>
      <c r="AG16" s="77" t="n"/>
      <c r="AH16" s="77" t="n"/>
      <c r="AI16" s="77" t="n"/>
      <c r="AJ16" s="89" t="n"/>
      <c r="AK16" s="77" t="n"/>
      <c r="AL16" s="77" t="n"/>
      <c r="AM16" s="77" t="n"/>
      <c r="AN16" s="77" t="n"/>
      <c r="AO16" s="89" t="n"/>
      <c r="AP16" s="77" t="n"/>
      <c r="AQ16" s="77" t="n"/>
      <c r="AR16" s="77" t="n"/>
      <c r="AS16" s="77" t="n"/>
      <c r="AT16" s="89" t="n"/>
      <c r="AU16" s="77" t="n"/>
      <c r="AV16" s="77" t="n"/>
      <c r="AW16" s="77" t="n"/>
      <c r="AX16" s="77" t="n"/>
      <c r="AY16" s="89" t="n"/>
      <c r="AZ16" s="77" t="n"/>
      <c r="BA16" s="77" t="n"/>
      <c r="BB16" s="77" t="n"/>
      <c r="BC16" s="77" t="n"/>
      <c r="BD16" s="89" t="n"/>
      <c r="BE16" s="77" t="n"/>
      <c r="BF16" s="77" t="n"/>
      <c r="BG16" s="77" t="n"/>
      <c r="BH16" s="77" t="n"/>
      <c r="BI16" s="89" t="n"/>
      <c r="BJ16" s="77" t="n"/>
      <c r="BK16" s="77" t="n"/>
      <c r="BL16" s="77" t="n"/>
      <c r="BM16" s="77" t="n"/>
      <c r="BN16" s="90">
        <f>IF(COUNTA($F16:$BM16)=0,"",COUNTIF($F16:$BM16,"●")+COUNTIF($F16:$BM16,"✔")+COUNTIF($F16:$BM16,"R"))</f>
        <v/>
      </c>
      <c r="BO16" s="78">
        <f>IF(BN16="","",COUNTIF($F16:$BM16,"✔"))</f>
        <v/>
      </c>
      <c r="BP16" s="79">
        <f>IF(N(BN16)=0,"",BO16/BN16)</f>
        <v/>
      </c>
      <c r="BQ16" s="80">
        <f>IF(N(BN16)=0,"",IF(BO16=BN16,"Concluída",IF(COUNTIF($F16:$BM16,"R")&gt;0,"Reprogramada",IF(BO16&gt;0,"Em andamento","Planejada"))))</f>
        <v/>
      </c>
    </row>
    <row r="17" ht="19" customHeight="1">
      <c r="A17" s="72" t="n">
        <v>8</v>
      </c>
      <c r="B17" s="73" t="n"/>
      <c r="C17" s="74">
        <f>IF(B17="","",IFERROR(INDEX(tb_pcm_ativos[descricao_ativo],MATCH(B17,tb_pcm_ativos[tag],0)),"fora do cadastro"))</f>
        <v/>
      </c>
      <c r="D17" s="75" t="n"/>
      <c r="E17" s="76" t="n"/>
      <c r="F17" s="77" t="n"/>
      <c r="G17" s="77" t="n"/>
      <c r="H17" s="77" t="n"/>
      <c r="I17" s="77" t="n"/>
      <c r="J17" s="77" t="n"/>
      <c r="K17" s="89" t="n"/>
      <c r="L17" s="77" t="n"/>
      <c r="M17" s="77" t="n"/>
      <c r="N17" s="77" t="n"/>
      <c r="O17" s="77" t="n"/>
      <c r="P17" s="89" t="n"/>
      <c r="Q17" s="77" t="n"/>
      <c r="R17" s="77" t="n"/>
      <c r="S17" s="77" t="n"/>
      <c r="T17" s="77" t="n"/>
      <c r="U17" s="89" t="n"/>
      <c r="V17" s="77" t="n"/>
      <c r="W17" s="77" t="n"/>
      <c r="X17" s="77" t="n"/>
      <c r="Y17" s="77" t="n"/>
      <c r="Z17" s="89" t="n"/>
      <c r="AA17" s="77" t="n"/>
      <c r="AB17" s="77" t="n"/>
      <c r="AC17" s="77" t="n"/>
      <c r="AD17" s="77" t="n"/>
      <c r="AE17" s="89" t="n"/>
      <c r="AF17" s="77" t="n"/>
      <c r="AG17" s="77" t="n"/>
      <c r="AH17" s="77" t="n"/>
      <c r="AI17" s="77" t="n"/>
      <c r="AJ17" s="89" t="n"/>
      <c r="AK17" s="77" t="n"/>
      <c r="AL17" s="77" t="n"/>
      <c r="AM17" s="77" t="n"/>
      <c r="AN17" s="77" t="n"/>
      <c r="AO17" s="89" t="n"/>
      <c r="AP17" s="77" t="n"/>
      <c r="AQ17" s="77" t="n"/>
      <c r="AR17" s="77" t="n"/>
      <c r="AS17" s="77" t="n"/>
      <c r="AT17" s="89" t="n"/>
      <c r="AU17" s="77" t="n"/>
      <c r="AV17" s="77" t="n"/>
      <c r="AW17" s="77" t="n"/>
      <c r="AX17" s="77" t="n"/>
      <c r="AY17" s="89" t="n"/>
      <c r="AZ17" s="77" t="n"/>
      <c r="BA17" s="77" t="n"/>
      <c r="BB17" s="77" t="n"/>
      <c r="BC17" s="77" t="n"/>
      <c r="BD17" s="89" t="n"/>
      <c r="BE17" s="77" t="n"/>
      <c r="BF17" s="77" t="n"/>
      <c r="BG17" s="77" t="n"/>
      <c r="BH17" s="77" t="n"/>
      <c r="BI17" s="89" t="n"/>
      <c r="BJ17" s="77" t="n"/>
      <c r="BK17" s="77" t="n"/>
      <c r="BL17" s="77" t="n"/>
      <c r="BM17" s="77" t="n"/>
      <c r="BN17" s="90">
        <f>IF(COUNTA($F17:$BM17)=0,"",COUNTIF($F17:$BM17,"●")+COUNTIF($F17:$BM17,"✔")+COUNTIF($F17:$BM17,"R"))</f>
        <v/>
      </c>
      <c r="BO17" s="78">
        <f>IF(BN17="","",COUNTIF($F17:$BM17,"✔"))</f>
        <v/>
      </c>
      <c r="BP17" s="79">
        <f>IF(N(BN17)=0,"",BO17/BN17)</f>
        <v/>
      </c>
      <c r="BQ17" s="80">
        <f>IF(N(BN17)=0,"",IF(BO17=BN17,"Concluída",IF(COUNTIF($F17:$BM17,"R")&gt;0,"Reprogramada",IF(BO17&gt;0,"Em andamento","Planejada"))))</f>
        <v/>
      </c>
    </row>
    <row r="18" ht="19" customHeight="1">
      <c r="A18" s="72" t="n">
        <v>9</v>
      </c>
      <c r="B18" s="73" t="n"/>
      <c r="C18" s="74">
        <f>IF(B18="","",IFERROR(INDEX(tb_pcm_ativos[descricao_ativo],MATCH(B18,tb_pcm_ativos[tag],0)),"fora do cadastro"))</f>
        <v/>
      </c>
      <c r="D18" s="75" t="n"/>
      <c r="E18" s="76" t="n"/>
      <c r="F18" s="77" t="n"/>
      <c r="G18" s="77" t="n"/>
      <c r="H18" s="77" t="n"/>
      <c r="I18" s="77" t="n"/>
      <c r="J18" s="77" t="n"/>
      <c r="K18" s="89" t="n"/>
      <c r="L18" s="77" t="n"/>
      <c r="M18" s="77" t="n"/>
      <c r="N18" s="77" t="n"/>
      <c r="O18" s="77" t="n"/>
      <c r="P18" s="89" t="n"/>
      <c r="Q18" s="77" t="n"/>
      <c r="R18" s="77" t="n"/>
      <c r="S18" s="77" t="n"/>
      <c r="T18" s="77" t="n"/>
      <c r="U18" s="89" t="n"/>
      <c r="V18" s="77" t="n"/>
      <c r="W18" s="77" t="n"/>
      <c r="X18" s="77" t="n"/>
      <c r="Y18" s="77" t="n"/>
      <c r="Z18" s="89" t="n"/>
      <c r="AA18" s="77" t="n"/>
      <c r="AB18" s="77" t="n"/>
      <c r="AC18" s="77" t="n"/>
      <c r="AD18" s="77" t="n"/>
      <c r="AE18" s="89" t="n"/>
      <c r="AF18" s="77" t="n"/>
      <c r="AG18" s="77" t="n"/>
      <c r="AH18" s="77" t="n"/>
      <c r="AI18" s="77" t="n"/>
      <c r="AJ18" s="89" t="n"/>
      <c r="AK18" s="77" t="n"/>
      <c r="AL18" s="77" t="n"/>
      <c r="AM18" s="77" t="n"/>
      <c r="AN18" s="77" t="n"/>
      <c r="AO18" s="89" t="n"/>
      <c r="AP18" s="77" t="n"/>
      <c r="AQ18" s="77" t="n"/>
      <c r="AR18" s="77" t="n"/>
      <c r="AS18" s="77" t="n"/>
      <c r="AT18" s="89" t="n"/>
      <c r="AU18" s="77" t="n"/>
      <c r="AV18" s="77" t="n"/>
      <c r="AW18" s="77" t="n"/>
      <c r="AX18" s="77" t="n"/>
      <c r="AY18" s="89" t="n"/>
      <c r="AZ18" s="77" t="n"/>
      <c r="BA18" s="77" t="n"/>
      <c r="BB18" s="77" t="n"/>
      <c r="BC18" s="77" t="n"/>
      <c r="BD18" s="89" t="n"/>
      <c r="BE18" s="77" t="n"/>
      <c r="BF18" s="77" t="n"/>
      <c r="BG18" s="77" t="n"/>
      <c r="BH18" s="77" t="n"/>
      <c r="BI18" s="89" t="n"/>
      <c r="BJ18" s="77" t="n"/>
      <c r="BK18" s="77" t="n"/>
      <c r="BL18" s="77" t="n"/>
      <c r="BM18" s="77" t="n"/>
      <c r="BN18" s="90">
        <f>IF(COUNTA($F18:$BM18)=0,"",COUNTIF($F18:$BM18,"●")+COUNTIF($F18:$BM18,"✔")+COUNTIF($F18:$BM18,"R"))</f>
        <v/>
      </c>
      <c r="BO18" s="78">
        <f>IF(BN18="","",COUNTIF($F18:$BM18,"✔"))</f>
        <v/>
      </c>
      <c r="BP18" s="79">
        <f>IF(N(BN18)=0,"",BO18/BN18)</f>
        <v/>
      </c>
      <c r="BQ18" s="80">
        <f>IF(N(BN18)=0,"",IF(BO18=BN18,"Concluída",IF(COUNTIF($F18:$BM18,"R")&gt;0,"Reprogramada",IF(BO18&gt;0,"Em andamento","Planejada"))))</f>
        <v/>
      </c>
    </row>
    <row r="19" ht="19" customHeight="1">
      <c r="A19" s="72" t="n">
        <v>10</v>
      </c>
      <c r="B19" s="73" t="n"/>
      <c r="C19" s="74">
        <f>IF(B19="","",IFERROR(INDEX(tb_pcm_ativos[descricao_ativo],MATCH(B19,tb_pcm_ativos[tag],0)),"fora do cadastro"))</f>
        <v/>
      </c>
      <c r="D19" s="75" t="n"/>
      <c r="E19" s="76" t="n"/>
      <c r="F19" s="77" t="n"/>
      <c r="G19" s="77" t="n"/>
      <c r="H19" s="77" t="n"/>
      <c r="I19" s="77" t="n"/>
      <c r="J19" s="77" t="n"/>
      <c r="K19" s="89" t="n"/>
      <c r="L19" s="77" t="n"/>
      <c r="M19" s="77" t="n"/>
      <c r="N19" s="77" t="n"/>
      <c r="O19" s="77" t="n"/>
      <c r="P19" s="89" t="n"/>
      <c r="Q19" s="77" t="n"/>
      <c r="R19" s="77" t="n"/>
      <c r="S19" s="77" t="n"/>
      <c r="T19" s="77" t="n"/>
      <c r="U19" s="89" t="n"/>
      <c r="V19" s="77" t="n"/>
      <c r="W19" s="77" t="n"/>
      <c r="X19" s="77" t="n"/>
      <c r="Y19" s="77" t="n"/>
      <c r="Z19" s="89" t="n"/>
      <c r="AA19" s="77" t="n"/>
      <c r="AB19" s="77" t="n"/>
      <c r="AC19" s="77" t="n"/>
      <c r="AD19" s="77" t="n"/>
      <c r="AE19" s="89" t="n"/>
      <c r="AF19" s="77" t="n"/>
      <c r="AG19" s="77" t="n"/>
      <c r="AH19" s="77" t="n"/>
      <c r="AI19" s="77" t="n"/>
      <c r="AJ19" s="89" t="n"/>
      <c r="AK19" s="77" t="n"/>
      <c r="AL19" s="77" t="n"/>
      <c r="AM19" s="77" t="n"/>
      <c r="AN19" s="77" t="n"/>
      <c r="AO19" s="89" t="n"/>
      <c r="AP19" s="77" t="n"/>
      <c r="AQ19" s="77" t="n"/>
      <c r="AR19" s="77" t="n"/>
      <c r="AS19" s="77" t="n"/>
      <c r="AT19" s="89" t="n"/>
      <c r="AU19" s="77" t="n"/>
      <c r="AV19" s="77" t="n"/>
      <c r="AW19" s="77" t="n"/>
      <c r="AX19" s="77" t="n"/>
      <c r="AY19" s="89" t="n"/>
      <c r="AZ19" s="77" t="n"/>
      <c r="BA19" s="77" t="n"/>
      <c r="BB19" s="77" t="n"/>
      <c r="BC19" s="77" t="n"/>
      <c r="BD19" s="89" t="n"/>
      <c r="BE19" s="77" t="n"/>
      <c r="BF19" s="77" t="n"/>
      <c r="BG19" s="77" t="n"/>
      <c r="BH19" s="77" t="n"/>
      <c r="BI19" s="89" t="n"/>
      <c r="BJ19" s="77" t="n"/>
      <c r="BK19" s="77" t="n"/>
      <c r="BL19" s="77" t="n"/>
      <c r="BM19" s="77" t="n"/>
      <c r="BN19" s="90">
        <f>IF(COUNTA($F19:$BM19)=0,"",COUNTIF($F19:$BM19,"●")+COUNTIF($F19:$BM19,"✔")+COUNTIF($F19:$BM19,"R"))</f>
        <v/>
      </c>
      <c r="BO19" s="78">
        <f>IF(BN19="","",COUNTIF($F19:$BM19,"✔"))</f>
        <v/>
      </c>
      <c r="BP19" s="79">
        <f>IF(N(BN19)=0,"",BO19/BN19)</f>
        <v/>
      </c>
      <c r="BQ19" s="80">
        <f>IF(N(BN19)=0,"",IF(BO19=BN19,"Concluída",IF(COUNTIF($F19:$BM19,"R")&gt;0,"Reprogramada",IF(BO19&gt;0,"Em andamento","Planejada"))))</f>
        <v/>
      </c>
    </row>
    <row r="20" ht="19" customHeight="1">
      <c r="A20" s="72" t="n">
        <v>11</v>
      </c>
      <c r="B20" s="73" t="n"/>
      <c r="C20" s="74">
        <f>IF(B20="","",IFERROR(INDEX(tb_pcm_ativos[descricao_ativo],MATCH(B20,tb_pcm_ativos[tag],0)),"fora do cadastro"))</f>
        <v/>
      </c>
      <c r="D20" s="75" t="n"/>
      <c r="E20" s="76" t="n"/>
      <c r="F20" s="77" t="n"/>
      <c r="G20" s="77" t="n"/>
      <c r="H20" s="77" t="n"/>
      <c r="I20" s="77" t="n"/>
      <c r="J20" s="77" t="n"/>
      <c r="K20" s="89" t="n"/>
      <c r="L20" s="77" t="n"/>
      <c r="M20" s="77" t="n"/>
      <c r="N20" s="77" t="n"/>
      <c r="O20" s="77" t="n"/>
      <c r="P20" s="89" t="n"/>
      <c r="Q20" s="77" t="n"/>
      <c r="R20" s="77" t="n"/>
      <c r="S20" s="77" t="n"/>
      <c r="T20" s="77" t="n"/>
      <c r="U20" s="89" t="n"/>
      <c r="V20" s="77" t="n"/>
      <c r="W20" s="77" t="n"/>
      <c r="X20" s="77" t="n"/>
      <c r="Y20" s="77" t="n"/>
      <c r="Z20" s="89" t="n"/>
      <c r="AA20" s="77" t="n"/>
      <c r="AB20" s="77" t="n"/>
      <c r="AC20" s="77" t="n"/>
      <c r="AD20" s="77" t="n"/>
      <c r="AE20" s="89" t="n"/>
      <c r="AF20" s="77" t="n"/>
      <c r="AG20" s="77" t="n"/>
      <c r="AH20" s="77" t="n"/>
      <c r="AI20" s="77" t="n"/>
      <c r="AJ20" s="89" t="n"/>
      <c r="AK20" s="77" t="n"/>
      <c r="AL20" s="77" t="n"/>
      <c r="AM20" s="77" t="n"/>
      <c r="AN20" s="77" t="n"/>
      <c r="AO20" s="89" t="n"/>
      <c r="AP20" s="77" t="n"/>
      <c r="AQ20" s="77" t="n"/>
      <c r="AR20" s="77" t="n"/>
      <c r="AS20" s="77" t="n"/>
      <c r="AT20" s="89" t="n"/>
      <c r="AU20" s="77" t="n"/>
      <c r="AV20" s="77" t="n"/>
      <c r="AW20" s="77" t="n"/>
      <c r="AX20" s="77" t="n"/>
      <c r="AY20" s="89" t="n"/>
      <c r="AZ20" s="77" t="n"/>
      <c r="BA20" s="77" t="n"/>
      <c r="BB20" s="77" t="n"/>
      <c r="BC20" s="77" t="n"/>
      <c r="BD20" s="89" t="n"/>
      <c r="BE20" s="77" t="n"/>
      <c r="BF20" s="77" t="n"/>
      <c r="BG20" s="77" t="n"/>
      <c r="BH20" s="77" t="n"/>
      <c r="BI20" s="89" t="n"/>
      <c r="BJ20" s="77" t="n"/>
      <c r="BK20" s="77" t="n"/>
      <c r="BL20" s="77" t="n"/>
      <c r="BM20" s="77" t="n"/>
      <c r="BN20" s="90">
        <f>IF(COUNTA($F20:$BM20)=0,"",COUNTIF($F20:$BM20,"●")+COUNTIF($F20:$BM20,"✔")+COUNTIF($F20:$BM20,"R"))</f>
        <v/>
      </c>
      <c r="BO20" s="78">
        <f>IF(BN20="","",COUNTIF($F20:$BM20,"✔"))</f>
        <v/>
      </c>
      <c r="BP20" s="79">
        <f>IF(N(BN20)=0,"",BO20/BN20)</f>
        <v/>
      </c>
      <c r="BQ20" s="80">
        <f>IF(N(BN20)=0,"",IF(BO20=BN20,"Concluída",IF(COUNTIF($F20:$BM20,"R")&gt;0,"Reprogramada",IF(BO20&gt;0,"Em andamento","Planejada"))))</f>
        <v/>
      </c>
    </row>
    <row r="21" ht="19" customHeight="1">
      <c r="A21" s="72" t="n">
        <v>12</v>
      </c>
      <c r="B21" s="73" t="n"/>
      <c r="C21" s="74">
        <f>IF(B21="","",IFERROR(INDEX(tb_pcm_ativos[descricao_ativo],MATCH(B21,tb_pcm_ativos[tag],0)),"fora do cadastro"))</f>
        <v/>
      </c>
      <c r="D21" s="75" t="n"/>
      <c r="E21" s="76" t="n"/>
      <c r="F21" s="77" t="n"/>
      <c r="G21" s="77" t="n"/>
      <c r="H21" s="77" t="n"/>
      <c r="I21" s="77" t="n"/>
      <c r="J21" s="77" t="n"/>
      <c r="K21" s="89" t="n"/>
      <c r="L21" s="77" t="n"/>
      <c r="M21" s="77" t="n"/>
      <c r="N21" s="77" t="n"/>
      <c r="O21" s="77" t="n"/>
      <c r="P21" s="89" t="n"/>
      <c r="Q21" s="77" t="n"/>
      <c r="R21" s="77" t="n"/>
      <c r="S21" s="77" t="n"/>
      <c r="T21" s="77" t="n"/>
      <c r="U21" s="89" t="n"/>
      <c r="V21" s="77" t="n"/>
      <c r="W21" s="77" t="n"/>
      <c r="X21" s="77" t="n"/>
      <c r="Y21" s="77" t="n"/>
      <c r="Z21" s="89" t="n"/>
      <c r="AA21" s="77" t="n"/>
      <c r="AB21" s="77" t="n"/>
      <c r="AC21" s="77" t="n"/>
      <c r="AD21" s="77" t="n"/>
      <c r="AE21" s="89" t="n"/>
      <c r="AF21" s="77" t="n"/>
      <c r="AG21" s="77" t="n"/>
      <c r="AH21" s="77" t="n"/>
      <c r="AI21" s="77" t="n"/>
      <c r="AJ21" s="89" t="n"/>
      <c r="AK21" s="77" t="n"/>
      <c r="AL21" s="77" t="n"/>
      <c r="AM21" s="77" t="n"/>
      <c r="AN21" s="77" t="n"/>
      <c r="AO21" s="89" t="n"/>
      <c r="AP21" s="77" t="n"/>
      <c r="AQ21" s="77" t="n"/>
      <c r="AR21" s="77" t="n"/>
      <c r="AS21" s="77" t="n"/>
      <c r="AT21" s="89" t="n"/>
      <c r="AU21" s="77" t="n"/>
      <c r="AV21" s="77" t="n"/>
      <c r="AW21" s="77" t="n"/>
      <c r="AX21" s="77" t="n"/>
      <c r="AY21" s="89" t="n"/>
      <c r="AZ21" s="77" t="n"/>
      <c r="BA21" s="77" t="n"/>
      <c r="BB21" s="77" t="n"/>
      <c r="BC21" s="77" t="n"/>
      <c r="BD21" s="89" t="n"/>
      <c r="BE21" s="77" t="n"/>
      <c r="BF21" s="77" t="n"/>
      <c r="BG21" s="77" t="n"/>
      <c r="BH21" s="77" t="n"/>
      <c r="BI21" s="89" t="n"/>
      <c r="BJ21" s="77" t="n"/>
      <c r="BK21" s="77" t="n"/>
      <c r="BL21" s="77" t="n"/>
      <c r="BM21" s="77" t="n"/>
      <c r="BN21" s="90">
        <f>IF(COUNTA($F21:$BM21)=0,"",COUNTIF($F21:$BM21,"●")+COUNTIF($F21:$BM21,"✔")+COUNTIF($F21:$BM21,"R"))</f>
        <v/>
      </c>
      <c r="BO21" s="78">
        <f>IF(BN21="","",COUNTIF($F21:$BM21,"✔"))</f>
        <v/>
      </c>
      <c r="BP21" s="79">
        <f>IF(N(BN21)=0,"",BO21/BN21)</f>
        <v/>
      </c>
      <c r="BQ21" s="80">
        <f>IF(N(BN21)=0,"",IF(BO21=BN21,"Concluída",IF(COUNTIF($F21:$BM21,"R")&gt;0,"Reprogramada",IF(BO21&gt;0,"Em andamento","Planejada"))))</f>
        <v/>
      </c>
    </row>
    <row r="22" ht="19" customHeight="1">
      <c r="A22" s="72" t="n">
        <v>13</v>
      </c>
      <c r="B22" s="73" t="n"/>
      <c r="C22" s="74">
        <f>IF(B22="","",IFERROR(INDEX(tb_pcm_ativos[descricao_ativo],MATCH(B22,tb_pcm_ativos[tag],0)),"fora do cadastro"))</f>
        <v/>
      </c>
      <c r="D22" s="75" t="n"/>
      <c r="E22" s="76" t="n"/>
      <c r="F22" s="77" t="n"/>
      <c r="G22" s="77" t="n"/>
      <c r="H22" s="77" t="n"/>
      <c r="I22" s="77" t="n"/>
      <c r="J22" s="77" t="n"/>
      <c r="K22" s="89" t="n"/>
      <c r="L22" s="77" t="n"/>
      <c r="M22" s="77" t="n"/>
      <c r="N22" s="77" t="n"/>
      <c r="O22" s="77" t="n"/>
      <c r="P22" s="89" t="n"/>
      <c r="Q22" s="77" t="n"/>
      <c r="R22" s="77" t="n"/>
      <c r="S22" s="77" t="n"/>
      <c r="T22" s="77" t="n"/>
      <c r="U22" s="89" t="n"/>
      <c r="V22" s="77" t="n"/>
      <c r="W22" s="77" t="n"/>
      <c r="X22" s="77" t="n"/>
      <c r="Y22" s="77" t="n"/>
      <c r="Z22" s="89" t="n"/>
      <c r="AA22" s="77" t="n"/>
      <c r="AB22" s="77" t="n"/>
      <c r="AC22" s="77" t="n"/>
      <c r="AD22" s="77" t="n"/>
      <c r="AE22" s="89" t="n"/>
      <c r="AF22" s="77" t="n"/>
      <c r="AG22" s="77" t="n"/>
      <c r="AH22" s="77" t="n"/>
      <c r="AI22" s="77" t="n"/>
      <c r="AJ22" s="89" t="n"/>
      <c r="AK22" s="77" t="n"/>
      <c r="AL22" s="77" t="n"/>
      <c r="AM22" s="77" t="n"/>
      <c r="AN22" s="77" t="n"/>
      <c r="AO22" s="89" t="n"/>
      <c r="AP22" s="77" t="n"/>
      <c r="AQ22" s="77" t="n"/>
      <c r="AR22" s="77" t="n"/>
      <c r="AS22" s="77" t="n"/>
      <c r="AT22" s="89" t="n"/>
      <c r="AU22" s="77" t="n"/>
      <c r="AV22" s="77" t="n"/>
      <c r="AW22" s="77" t="n"/>
      <c r="AX22" s="77" t="n"/>
      <c r="AY22" s="89" t="n"/>
      <c r="AZ22" s="77" t="n"/>
      <c r="BA22" s="77" t="n"/>
      <c r="BB22" s="77" t="n"/>
      <c r="BC22" s="77" t="n"/>
      <c r="BD22" s="89" t="n"/>
      <c r="BE22" s="77" t="n"/>
      <c r="BF22" s="77" t="n"/>
      <c r="BG22" s="77" t="n"/>
      <c r="BH22" s="77" t="n"/>
      <c r="BI22" s="89" t="n"/>
      <c r="BJ22" s="77" t="n"/>
      <c r="BK22" s="77" t="n"/>
      <c r="BL22" s="77" t="n"/>
      <c r="BM22" s="77" t="n"/>
      <c r="BN22" s="90">
        <f>IF(COUNTA($F22:$BM22)=0,"",COUNTIF($F22:$BM22,"●")+COUNTIF($F22:$BM22,"✔")+COUNTIF($F22:$BM22,"R"))</f>
        <v/>
      </c>
      <c r="BO22" s="78">
        <f>IF(BN22="","",COUNTIF($F22:$BM22,"✔"))</f>
        <v/>
      </c>
      <c r="BP22" s="79">
        <f>IF(N(BN22)=0,"",BO22/BN22)</f>
        <v/>
      </c>
      <c r="BQ22" s="80">
        <f>IF(N(BN22)=0,"",IF(BO22=BN22,"Concluída",IF(COUNTIF($F22:$BM22,"R")&gt;0,"Reprogramada",IF(BO22&gt;0,"Em andamento","Planejada"))))</f>
        <v/>
      </c>
    </row>
    <row r="23" ht="19" customHeight="1">
      <c r="A23" s="72" t="n">
        <v>14</v>
      </c>
      <c r="B23" s="73" t="n"/>
      <c r="C23" s="74">
        <f>IF(B23="","",IFERROR(INDEX(tb_pcm_ativos[descricao_ativo],MATCH(B23,tb_pcm_ativos[tag],0)),"fora do cadastro"))</f>
        <v/>
      </c>
      <c r="D23" s="75" t="n"/>
      <c r="E23" s="76" t="n"/>
      <c r="F23" s="77" t="n"/>
      <c r="G23" s="77" t="n"/>
      <c r="H23" s="77" t="n"/>
      <c r="I23" s="77" t="n"/>
      <c r="J23" s="77" t="n"/>
      <c r="K23" s="89" t="n"/>
      <c r="L23" s="77" t="n"/>
      <c r="M23" s="77" t="n"/>
      <c r="N23" s="77" t="n"/>
      <c r="O23" s="77" t="n"/>
      <c r="P23" s="89" t="n"/>
      <c r="Q23" s="77" t="n"/>
      <c r="R23" s="77" t="n"/>
      <c r="S23" s="77" t="n"/>
      <c r="T23" s="77" t="n"/>
      <c r="U23" s="89" t="n"/>
      <c r="V23" s="77" t="n"/>
      <c r="W23" s="77" t="n"/>
      <c r="X23" s="77" t="n"/>
      <c r="Y23" s="77" t="n"/>
      <c r="Z23" s="89" t="n"/>
      <c r="AA23" s="77" t="n"/>
      <c r="AB23" s="77" t="n"/>
      <c r="AC23" s="77" t="n"/>
      <c r="AD23" s="77" t="n"/>
      <c r="AE23" s="89" t="n"/>
      <c r="AF23" s="77" t="n"/>
      <c r="AG23" s="77" t="n"/>
      <c r="AH23" s="77" t="n"/>
      <c r="AI23" s="77" t="n"/>
      <c r="AJ23" s="89" t="n"/>
      <c r="AK23" s="77" t="n"/>
      <c r="AL23" s="77" t="n"/>
      <c r="AM23" s="77" t="n"/>
      <c r="AN23" s="77" t="n"/>
      <c r="AO23" s="89" t="n"/>
      <c r="AP23" s="77" t="n"/>
      <c r="AQ23" s="77" t="n"/>
      <c r="AR23" s="77" t="n"/>
      <c r="AS23" s="77" t="n"/>
      <c r="AT23" s="89" t="n"/>
      <c r="AU23" s="77" t="n"/>
      <c r="AV23" s="77" t="n"/>
      <c r="AW23" s="77" t="n"/>
      <c r="AX23" s="77" t="n"/>
      <c r="AY23" s="89" t="n"/>
      <c r="AZ23" s="77" t="n"/>
      <c r="BA23" s="77" t="n"/>
      <c r="BB23" s="77" t="n"/>
      <c r="BC23" s="77" t="n"/>
      <c r="BD23" s="89" t="n"/>
      <c r="BE23" s="77" t="n"/>
      <c r="BF23" s="77" t="n"/>
      <c r="BG23" s="77" t="n"/>
      <c r="BH23" s="77" t="n"/>
      <c r="BI23" s="89" t="n"/>
      <c r="BJ23" s="77" t="n"/>
      <c r="BK23" s="77" t="n"/>
      <c r="BL23" s="77" t="n"/>
      <c r="BM23" s="77" t="n"/>
      <c r="BN23" s="90">
        <f>IF(COUNTA($F23:$BM23)=0,"",COUNTIF($F23:$BM23,"●")+COUNTIF($F23:$BM23,"✔")+COUNTIF($F23:$BM23,"R"))</f>
        <v/>
      </c>
      <c r="BO23" s="78">
        <f>IF(BN23="","",COUNTIF($F23:$BM23,"✔"))</f>
        <v/>
      </c>
      <c r="BP23" s="79">
        <f>IF(N(BN23)=0,"",BO23/BN23)</f>
        <v/>
      </c>
      <c r="BQ23" s="80">
        <f>IF(N(BN23)=0,"",IF(BO23=BN23,"Concluída",IF(COUNTIF($F23:$BM23,"R")&gt;0,"Reprogramada",IF(BO23&gt;0,"Em andamento","Planejada"))))</f>
        <v/>
      </c>
    </row>
    <row r="24" ht="19" customHeight="1">
      <c r="A24" s="72" t="n">
        <v>15</v>
      </c>
      <c r="B24" s="73" t="n"/>
      <c r="C24" s="74">
        <f>IF(B24="","",IFERROR(INDEX(tb_pcm_ativos[descricao_ativo],MATCH(B24,tb_pcm_ativos[tag],0)),"fora do cadastro"))</f>
        <v/>
      </c>
      <c r="D24" s="75" t="n"/>
      <c r="E24" s="76" t="n"/>
      <c r="F24" s="77" t="n"/>
      <c r="G24" s="77" t="n"/>
      <c r="H24" s="77" t="n"/>
      <c r="I24" s="77" t="n"/>
      <c r="J24" s="77" t="n"/>
      <c r="K24" s="89" t="n"/>
      <c r="L24" s="77" t="n"/>
      <c r="M24" s="77" t="n"/>
      <c r="N24" s="77" t="n"/>
      <c r="O24" s="77" t="n"/>
      <c r="P24" s="89" t="n"/>
      <c r="Q24" s="77" t="n"/>
      <c r="R24" s="77" t="n"/>
      <c r="S24" s="77" t="n"/>
      <c r="T24" s="77" t="n"/>
      <c r="U24" s="89" t="n"/>
      <c r="V24" s="77" t="n"/>
      <c r="W24" s="77" t="n"/>
      <c r="X24" s="77" t="n"/>
      <c r="Y24" s="77" t="n"/>
      <c r="Z24" s="89" t="n"/>
      <c r="AA24" s="77" t="n"/>
      <c r="AB24" s="77" t="n"/>
      <c r="AC24" s="77" t="n"/>
      <c r="AD24" s="77" t="n"/>
      <c r="AE24" s="89" t="n"/>
      <c r="AF24" s="77" t="n"/>
      <c r="AG24" s="77" t="n"/>
      <c r="AH24" s="77" t="n"/>
      <c r="AI24" s="77" t="n"/>
      <c r="AJ24" s="89" t="n"/>
      <c r="AK24" s="77" t="n"/>
      <c r="AL24" s="77" t="n"/>
      <c r="AM24" s="77" t="n"/>
      <c r="AN24" s="77" t="n"/>
      <c r="AO24" s="89" t="n"/>
      <c r="AP24" s="77" t="n"/>
      <c r="AQ24" s="77" t="n"/>
      <c r="AR24" s="77" t="n"/>
      <c r="AS24" s="77" t="n"/>
      <c r="AT24" s="89" t="n"/>
      <c r="AU24" s="77" t="n"/>
      <c r="AV24" s="77" t="n"/>
      <c r="AW24" s="77" t="n"/>
      <c r="AX24" s="77" t="n"/>
      <c r="AY24" s="89" t="n"/>
      <c r="AZ24" s="77" t="n"/>
      <c r="BA24" s="77" t="n"/>
      <c r="BB24" s="77" t="n"/>
      <c r="BC24" s="77" t="n"/>
      <c r="BD24" s="89" t="n"/>
      <c r="BE24" s="77" t="n"/>
      <c r="BF24" s="77" t="n"/>
      <c r="BG24" s="77" t="n"/>
      <c r="BH24" s="77" t="n"/>
      <c r="BI24" s="89" t="n"/>
      <c r="BJ24" s="77" t="n"/>
      <c r="BK24" s="77" t="n"/>
      <c r="BL24" s="77" t="n"/>
      <c r="BM24" s="77" t="n"/>
      <c r="BN24" s="90">
        <f>IF(COUNTA($F24:$BM24)=0,"",COUNTIF($F24:$BM24,"●")+COUNTIF($F24:$BM24,"✔")+COUNTIF($F24:$BM24,"R"))</f>
        <v/>
      </c>
      <c r="BO24" s="78">
        <f>IF(BN24="","",COUNTIF($F24:$BM24,"✔"))</f>
        <v/>
      </c>
      <c r="BP24" s="79">
        <f>IF(N(BN24)=0,"",BO24/BN24)</f>
        <v/>
      </c>
      <c r="BQ24" s="80">
        <f>IF(N(BN24)=0,"",IF(BO24=BN24,"Concluída",IF(COUNTIF($F24:$BM24,"R")&gt;0,"Reprogramada",IF(BO24&gt;0,"Em andamento","Planejada"))))</f>
        <v/>
      </c>
    </row>
    <row r="25" ht="19" customHeight="1">
      <c r="A25" s="72" t="n">
        <v>16</v>
      </c>
      <c r="B25" s="73" t="n"/>
      <c r="C25" s="74">
        <f>IF(B25="","",IFERROR(INDEX(tb_pcm_ativos[descricao_ativo],MATCH(B25,tb_pcm_ativos[tag],0)),"fora do cadastro"))</f>
        <v/>
      </c>
      <c r="D25" s="75" t="n"/>
      <c r="E25" s="76" t="n"/>
      <c r="F25" s="77" t="n"/>
      <c r="G25" s="77" t="n"/>
      <c r="H25" s="77" t="n"/>
      <c r="I25" s="77" t="n"/>
      <c r="J25" s="77" t="n"/>
      <c r="K25" s="89" t="n"/>
      <c r="L25" s="77" t="n"/>
      <c r="M25" s="77" t="n"/>
      <c r="N25" s="77" t="n"/>
      <c r="O25" s="77" t="n"/>
      <c r="P25" s="89" t="n"/>
      <c r="Q25" s="77" t="n"/>
      <c r="R25" s="77" t="n"/>
      <c r="S25" s="77" t="n"/>
      <c r="T25" s="77" t="n"/>
      <c r="U25" s="89" t="n"/>
      <c r="V25" s="77" t="n"/>
      <c r="W25" s="77" t="n"/>
      <c r="X25" s="77" t="n"/>
      <c r="Y25" s="77" t="n"/>
      <c r="Z25" s="89" t="n"/>
      <c r="AA25" s="77" t="n"/>
      <c r="AB25" s="77" t="n"/>
      <c r="AC25" s="77" t="n"/>
      <c r="AD25" s="77" t="n"/>
      <c r="AE25" s="89" t="n"/>
      <c r="AF25" s="77" t="n"/>
      <c r="AG25" s="77" t="n"/>
      <c r="AH25" s="77" t="n"/>
      <c r="AI25" s="77" t="n"/>
      <c r="AJ25" s="89" t="n"/>
      <c r="AK25" s="77" t="n"/>
      <c r="AL25" s="77" t="n"/>
      <c r="AM25" s="77" t="n"/>
      <c r="AN25" s="77" t="n"/>
      <c r="AO25" s="89" t="n"/>
      <c r="AP25" s="77" t="n"/>
      <c r="AQ25" s="77" t="n"/>
      <c r="AR25" s="77" t="n"/>
      <c r="AS25" s="77" t="n"/>
      <c r="AT25" s="89" t="n"/>
      <c r="AU25" s="77" t="n"/>
      <c r="AV25" s="77" t="n"/>
      <c r="AW25" s="77" t="n"/>
      <c r="AX25" s="77" t="n"/>
      <c r="AY25" s="89" t="n"/>
      <c r="AZ25" s="77" t="n"/>
      <c r="BA25" s="77" t="n"/>
      <c r="BB25" s="77" t="n"/>
      <c r="BC25" s="77" t="n"/>
      <c r="BD25" s="89" t="n"/>
      <c r="BE25" s="77" t="n"/>
      <c r="BF25" s="77" t="n"/>
      <c r="BG25" s="77" t="n"/>
      <c r="BH25" s="77" t="n"/>
      <c r="BI25" s="89" t="n"/>
      <c r="BJ25" s="77" t="n"/>
      <c r="BK25" s="77" t="n"/>
      <c r="BL25" s="77" t="n"/>
      <c r="BM25" s="77" t="n"/>
      <c r="BN25" s="90">
        <f>IF(COUNTA($F25:$BM25)=0,"",COUNTIF($F25:$BM25,"●")+COUNTIF($F25:$BM25,"✔")+COUNTIF($F25:$BM25,"R"))</f>
        <v/>
      </c>
      <c r="BO25" s="78">
        <f>IF(BN25="","",COUNTIF($F25:$BM25,"✔"))</f>
        <v/>
      </c>
      <c r="BP25" s="79">
        <f>IF(N(BN25)=0,"",BO25/BN25)</f>
        <v/>
      </c>
      <c r="BQ25" s="80">
        <f>IF(N(BN25)=0,"",IF(BO25=BN25,"Concluída",IF(COUNTIF($F25:$BM25,"R")&gt;0,"Reprogramada",IF(BO25&gt;0,"Em andamento","Planejada"))))</f>
        <v/>
      </c>
    </row>
    <row r="26" ht="19" customHeight="1">
      <c r="A26" s="72" t="n">
        <v>17</v>
      </c>
      <c r="B26" s="73" t="n"/>
      <c r="C26" s="74">
        <f>IF(B26="","",IFERROR(INDEX(tb_pcm_ativos[descricao_ativo],MATCH(B26,tb_pcm_ativos[tag],0)),"fora do cadastro"))</f>
        <v/>
      </c>
      <c r="D26" s="75" t="n"/>
      <c r="E26" s="76" t="n"/>
      <c r="F26" s="77" t="n"/>
      <c r="G26" s="77" t="n"/>
      <c r="H26" s="77" t="n"/>
      <c r="I26" s="77" t="n"/>
      <c r="J26" s="77" t="n"/>
      <c r="K26" s="89" t="n"/>
      <c r="L26" s="77" t="n"/>
      <c r="M26" s="77" t="n"/>
      <c r="N26" s="77" t="n"/>
      <c r="O26" s="77" t="n"/>
      <c r="P26" s="89" t="n"/>
      <c r="Q26" s="77" t="n"/>
      <c r="R26" s="77" t="n"/>
      <c r="S26" s="77" t="n"/>
      <c r="T26" s="77" t="n"/>
      <c r="U26" s="89" t="n"/>
      <c r="V26" s="77" t="n"/>
      <c r="W26" s="77" t="n"/>
      <c r="X26" s="77" t="n"/>
      <c r="Y26" s="77" t="n"/>
      <c r="Z26" s="89" t="n"/>
      <c r="AA26" s="77" t="n"/>
      <c r="AB26" s="77" t="n"/>
      <c r="AC26" s="77" t="n"/>
      <c r="AD26" s="77" t="n"/>
      <c r="AE26" s="89" t="n"/>
      <c r="AF26" s="77" t="n"/>
      <c r="AG26" s="77" t="n"/>
      <c r="AH26" s="77" t="n"/>
      <c r="AI26" s="77" t="n"/>
      <c r="AJ26" s="89" t="n"/>
      <c r="AK26" s="77" t="n"/>
      <c r="AL26" s="77" t="n"/>
      <c r="AM26" s="77" t="n"/>
      <c r="AN26" s="77" t="n"/>
      <c r="AO26" s="89" t="n"/>
      <c r="AP26" s="77" t="n"/>
      <c r="AQ26" s="77" t="n"/>
      <c r="AR26" s="77" t="n"/>
      <c r="AS26" s="77" t="n"/>
      <c r="AT26" s="89" t="n"/>
      <c r="AU26" s="77" t="n"/>
      <c r="AV26" s="77" t="n"/>
      <c r="AW26" s="77" t="n"/>
      <c r="AX26" s="77" t="n"/>
      <c r="AY26" s="89" t="n"/>
      <c r="AZ26" s="77" t="n"/>
      <c r="BA26" s="77" t="n"/>
      <c r="BB26" s="77" t="n"/>
      <c r="BC26" s="77" t="n"/>
      <c r="BD26" s="89" t="n"/>
      <c r="BE26" s="77" t="n"/>
      <c r="BF26" s="77" t="n"/>
      <c r="BG26" s="77" t="n"/>
      <c r="BH26" s="77" t="n"/>
      <c r="BI26" s="89" t="n"/>
      <c r="BJ26" s="77" t="n"/>
      <c r="BK26" s="77" t="n"/>
      <c r="BL26" s="77" t="n"/>
      <c r="BM26" s="77" t="n"/>
      <c r="BN26" s="90">
        <f>IF(COUNTA($F26:$BM26)=0,"",COUNTIF($F26:$BM26,"●")+COUNTIF($F26:$BM26,"✔")+COUNTIF($F26:$BM26,"R"))</f>
        <v/>
      </c>
      <c r="BO26" s="78">
        <f>IF(BN26="","",COUNTIF($F26:$BM26,"✔"))</f>
        <v/>
      </c>
      <c r="BP26" s="79">
        <f>IF(N(BN26)=0,"",BO26/BN26)</f>
        <v/>
      </c>
      <c r="BQ26" s="80">
        <f>IF(N(BN26)=0,"",IF(BO26=BN26,"Concluída",IF(COUNTIF($F26:$BM26,"R")&gt;0,"Reprogramada",IF(BO26&gt;0,"Em andamento","Planejada"))))</f>
        <v/>
      </c>
    </row>
    <row r="27" ht="19" customHeight="1">
      <c r="A27" s="72" t="n">
        <v>18</v>
      </c>
      <c r="B27" s="73" t="n"/>
      <c r="C27" s="74">
        <f>IF(B27="","",IFERROR(INDEX(tb_pcm_ativos[descricao_ativo],MATCH(B27,tb_pcm_ativos[tag],0)),"fora do cadastro"))</f>
        <v/>
      </c>
      <c r="D27" s="75" t="n"/>
      <c r="E27" s="76" t="n"/>
      <c r="F27" s="77" t="n"/>
      <c r="G27" s="77" t="n"/>
      <c r="H27" s="77" t="n"/>
      <c r="I27" s="77" t="n"/>
      <c r="J27" s="77" t="n"/>
      <c r="K27" s="89" t="n"/>
      <c r="L27" s="77" t="n"/>
      <c r="M27" s="77" t="n"/>
      <c r="N27" s="77" t="n"/>
      <c r="O27" s="77" t="n"/>
      <c r="P27" s="89" t="n"/>
      <c r="Q27" s="77" t="n"/>
      <c r="R27" s="77" t="n"/>
      <c r="S27" s="77" t="n"/>
      <c r="T27" s="77" t="n"/>
      <c r="U27" s="89" t="n"/>
      <c r="V27" s="77" t="n"/>
      <c r="W27" s="77" t="n"/>
      <c r="X27" s="77" t="n"/>
      <c r="Y27" s="77" t="n"/>
      <c r="Z27" s="89" t="n"/>
      <c r="AA27" s="77" t="n"/>
      <c r="AB27" s="77" t="n"/>
      <c r="AC27" s="77" t="n"/>
      <c r="AD27" s="77" t="n"/>
      <c r="AE27" s="89" t="n"/>
      <c r="AF27" s="77" t="n"/>
      <c r="AG27" s="77" t="n"/>
      <c r="AH27" s="77" t="n"/>
      <c r="AI27" s="77" t="n"/>
      <c r="AJ27" s="89" t="n"/>
      <c r="AK27" s="77" t="n"/>
      <c r="AL27" s="77" t="n"/>
      <c r="AM27" s="77" t="n"/>
      <c r="AN27" s="77" t="n"/>
      <c r="AO27" s="89" t="n"/>
      <c r="AP27" s="77" t="n"/>
      <c r="AQ27" s="77" t="n"/>
      <c r="AR27" s="77" t="n"/>
      <c r="AS27" s="77" t="n"/>
      <c r="AT27" s="89" t="n"/>
      <c r="AU27" s="77" t="n"/>
      <c r="AV27" s="77" t="n"/>
      <c r="AW27" s="77" t="n"/>
      <c r="AX27" s="77" t="n"/>
      <c r="AY27" s="89" t="n"/>
      <c r="AZ27" s="77" t="n"/>
      <c r="BA27" s="77" t="n"/>
      <c r="BB27" s="77" t="n"/>
      <c r="BC27" s="77" t="n"/>
      <c r="BD27" s="89" t="n"/>
      <c r="BE27" s="77" t="n"/>
      <c r="BF27" s="77" t="n"/>
      <c r="BG27" s="77" t="n"/>
      <c r="BH27" s="77" t="n"/>
      <c r="BI27" s="89" t="n"/>
      <c r="BJ27" s="77" t="n"/>
      <c r="BK27" s="77" t="n"/>
      <c r="BL27" s="77" t="n"/>
      <c r="BM27" s="77" t="n"/>
      <c r="BN27" s="90">
        <f>IF(COUNTA($F27:$BM27)=0,"",COUNTIF($F27:$BM27,"●")+COUNTIF($F27:$BM27,"✔")+COUNTIF($F27:$BM27,"R"))</f>
        <v/>
      </c>
      <c r="BO27" s="78">
        <f>IF(BN27="","",COUNTIF($F27:$BM27,"✔"))</f>
        <v/>
      </c>
      <c r="BP27" s="79">
        <f>IF(N(BN27)=0,"",BO27/BN27)</f>
        <v/>
      </c>
      <c r="BQ27" s="80">
        <f>IF(N(BN27)=0,"",IF(BO27=BN27,"Concluída",IF(COUNTIF($F27:$BM27,"R")&gt;0,"Reprogramada",IF(BO27&gt;0,"Em andamento","Planejada"))))</f>
        <v/>
      </c>
    </row>
    <row r="28" ht="19" customHeight="1">
      <c r="A28" s="72" t="n">
        <v>19</v>
      </c>
      <c r="B28" s="73" t="n"/>
      <c r="C28" s="74">
        <f>IF(B28="","",IFERROR(INDEX(tb_pcm_ativos[descricao_ativo],MATCH(B28,tb_pcm_ativos[tag],0)),"fora do cadastro"))</f>
        <v/>
      </c>
      <c r="D28" s="75" t="n"/>
      <c r="E28" s="76" t="n"/>
      <c r="F28" s="77" t="n"/>
      <c r="G28" s="77" t="n"/>
      <c r="H28" s="77" t="n"/>
      <c r="I28" s="77" t="n"/>
      <c r="J28" s="77" t="n"/>
      <c r="K28" s="89" t="n"/>
      <c r="L28" s="77" t="n"/>
      <c r="M28" s="77" t="n"/>
      <c r="N28" s="77" t="n"/>
      <c r="O28" s="77" t="n"/>
      <c r="P28" s="89" t="n"/>
      <c r="Q28" s="77" t="n"/>
      <c r="R28" s="77" t="n"/>
      <c r="S28" s="77" t="n"/>
      <c r="T28" s="77" t="n"/>
      <c r="U28" s="89" t="n"/>
      <c r="V28" s="77" t="n"/>
      <c r="W28" s="77" t="n"/>
      <c r="X28" s="77" t="n"/>
      <c r="Y28" s="77" t="n"/>
      <c r="Z28" s="89" t="n"/>
      <c r="AA28" s="77" t="n"/>
      <c r="AB28" s="77" t="n"/>
      <c r="AC28" s="77" t="n"/>
      <c r="AD28" s="77" t="n"/>
      <c r="AE28" s="89" t="n"/>
      <c r="AF28" s="77" t="n"/>
      <c r="AG28" s="77" t="n"/>
      <c r="AH28" s="77" t="n"/>
      <c r="AI28" s="77" t="n"/>
      <c r="AJ28" s="89" t="n"/>
      <c r="AK28" s="77" t="n"/>
      <c r="AL28" s="77" t="n"/>
      <c r="AM28" s="77" t="n"/>
      <c r="AN28" s="77" t="n"/>
      <c r="AO28" s="89" t="n"/>
      <c r="AP28" s="77" t="n"/>
      <c r="AQ28" s="77" t="n"/>
      <c r="AR28" s="77" t="n"/>
      <c r="AS28" s="77" t="n"/>
      <c r="AT28" s="89" t="n"/>
      <c r="AU28" s="77" t="n"/>
      <c r="AV28" s="77" t="n"/>
      <c r="AW28" s="77" t="n"/>
      <c r="AX28" s="77" t="n"/>
      <c r="AY28" s="89" t="n"/>
      <c r="AZ28" s="77" t="n"/>
      <c r="BA28" s="77" t="n"/>
      <c r="BB28" s="77" t="n"/>
      <c r="BC28" s="77" t="n"/>
      <c r="BD28" s="89" t="n"/>
      <c r="BE28" s="77" t="n"/>
      <c r="BF28" s="77" t="n"/>
      <c r="BG28" s="77" t="n"/>
      <c r="BH28" s="77" t="n"/>
      <c r="BI28" s="89" t="n"/>
      <c r="BJ28" s="77" t="n"/>
      <c r="BK28" s="77" t="n"/>
      <c r="BL28" s="77" t="n"/>
      <c r="BM28" s="77" t="n"/>
      <c r="BN28" s="90">
        <f>IF(COUNTA($F28:$BM28)=0,"",COUNTIF($F28:$BM28,"●")+COUNTIF($F28:$BM28,"✔")+COUNTIF($F28:$BM28,"R"))</f>
        <v/>
      </c>
      <c r="BO28" s="78">
        <f>IF(BN28="","",COUNTIF($F28:$BM28,"✔"))</f>
        <v/>
      </c>
      <c r="BP28" s="79">
        <f>IF(N(BN28)=0,"",BO28/BN28)</f>
        <v/>
      </c>
      <c r="BQ28" s="80">
        <f>IF(N(BN28)=0,"",IF(BO28=BN28,"Concluída",IF(COUNTIF($F28:$BM28,"R")&gt;0,"Reprogramada",IF(BO28&gt;0,"Em andamento","Planejada"))))</f>
        <v/>
      </c>
    </row>
    <row r="29" ht="19" customHeight="1">
      <c r="A29" s="72" t="n">
        <v>20</v>
      </c>
      <c r="B29" s="73" t="n"/>
      <c r="C29" s="74">
        <f>IF(B29="","",IFERROR(INDEX(tb_pcm_ativos[descricao_ativo],MATCH(B29,tb_pcm_ativos[tag],0)),"fora do cadastro"))</f>
        <v/>
      </c>
      <c r="D29" s="75" t="n"/>
      <c r="E29" s="76" t="n"/>
      <c r="F29" s="77" t="n"/>
      <c r="G29" s="77" t="n"/>
      <c r="H29" s="77" t="n"/>
      <c r="I29" s="77" t="n"/>
      <c r="J29" s="77" t="n"/>
      <c r="K29" s="89" t="n"/>
      <c r="L29" s="77" t="n"/>
      <c r="M29" s="77" t="n"/>
      <c r="N29" s="77" t="n"/>
      <c r="O29" s="77" t="n"/>
      <c r="P29" s="89" t="n"/>
      <c r="Q29" s="77" t="n"/>
      <c r="R29" s="77" t="n"/>
      <c r="S29" s="77" t="n"/>
      <c r="T29" s="77" t="n"/>
      <c r="U29" s="89" t="n"/>
      <c r="V29" s="77" t="n"/>
      <c r="W29" s="77" t="n"/>
      <c r="X29" s="77" t="n"/>
      <c r="Y29" s="77" t="n"/>
      <c r="Z29" s="89" t="n"/>
      <c r="AA29" s="77" t="n"/>
      <c r="AB29" s="77" t="n"/>
      <c r="AC29" s="77" t="n"/>
      <c r="AD29" s="77" t="n"/>
      <c r="AE29" s="89" t="n"/>
      <c r="AF29" s="77" t="n"/>
      <c r="AG29" s="77" t="n"/>
      <c r="AH29" s="77" t="n"/>
      <c r="AI29" s="77" t="n"/>
      <c r="AJ29" s="89" t="n"/>
      <c r="AK29" s="77" t="n"/>
      <c r="AL29" s="77" t="n"/>
      <c r="AM29" s="77" t="n"/>
      <c r="AN29" s="77" t="n"/>
      <c r="AO29" s="89" t="n"/>
      <c r="AP29" s="77" t="n"/>
      <c r="AQ29" s="77" t="n"/>
      <c r="AR29" s="77" t="n"/>
      <c r="AS29" s="77" t="n"/>
      <c r="AT29" s="89" t="n"/>
      <c r="AU29" s="77" t="n"/>
      <c r="AV29" s="77" t="n"/>
      <c r="AW29" s="77" t="n"/>
      <c r="AX29" s="77" t="n"/>
      <c r="AY29" s="89" t="n"/>
      <c r="AZ29" s="77" t="n"/>
      <c r="BA29" s="77" t="n"/>
      <c r="BB29" s="77" t="n"/>
      <c r="BC29" s="77" t="n"/>
      <c r="BD29" s="89" t="n"/>
      <c r="BE29" s="77" t="n"/>
      <c r="BF29" s="77" t="n"/>
      <c r="BG29" s="77" t="n"/>
      <c r="BH29" s="77" t="n"/>
      <c r="BI29" s="89" t="n"/>
      <c r="BJ29" s="77" t="n"/>
      <c r="BK29" s="77" t="n"/>
      <c r="BL29" s="77" t="n"/>
      <c r="BM29" s="77" t="n"/>
      <c r="BN29" s="90">
        <f>IF(COUNTA($F29:$BM29)=0,"",COUNTIF($F29:$BM29,"●")+COUNTIF($F29:$BM29,"✔")+COUNTIF($F29:$BM29,"R"))</f>
        <v/>
      </c>
      <c r="BO29" s="78">
        <f>IF(BN29="","",COUNTIF($F29:$BM29,"✔"))</f>
        <v/>
      </c>
      <c r="BP29" s="79">
        <f>IF(N(BN29)=0,"",BO29/BN29)</f>
        <v/>
      </c>
      <c r="BQ29" s="80">
        <f>IF(N(BN29)=0,"",IF(BO29=BN29,"Concluída",IF(COUNTIF($F29:$BM29,"R")&gt;0,"Reprogramada",IF(BO29&gt;0,"Em andamento","Planejada"))))</f>
        <v/>
      </c>
    </row>
    <row r="30" ht="19" customHeight="1">
      <c r="A30" s="72" t="n">
        <v>21</v>
      </c>
      <c r="B30" s="73" t="n"/>
      <c r="C30" s="74">
        <f>IF(B30="","",IFERROR(INDEX(tb_pcm_ativos[descricao_ativo],MATCH(B30,tb_pcm_ativos[tag],0)),"fora do cadastro"))</f>
        <v/>
      </c>
      <c r="D30" s="75" t="n"/>
      <c r="E30" s="76" t="n"/>
      <c r="F30" s="77" t="n"/>
      <c r="G30" s="77" t="n"/>
      <c r="H30" s="77" t="n"/>
      <c r="I30" s="77" t="n"/>
      <c r="J30" s="77" t="n"/>
      <c r="K30" s="89" t="n"/>
      <c r="L30" s="77" t="n"/>
      <c r="M30" s="77" t="n"/>
      <c r="N30" s="77" t="n"/>
      <c r="O30" s="77" t="n"/>
      <c r="P30" s="89" t="n"/>
      <c r="Q30" s="77" t="n"/>
      <c r="R30" s="77" t="n"/>
      <c r="S30" s="77" t="n"/>
      <c r="T30" s="77" t="n"/>
      <c r="U30" s="89" t="n"/>
      <c r="V30" s="77" t="n"/>
      <c r="W30" s="77" t="n"/>
      <c r="X30" s="77" t="n"/>
      <c r="Y30" s="77" t="n"/>
      <c r="Z30" s="89" t="n"/>
      <c r="AA30" s="77" t="n"/>
      <c r="AB30" s="77" t="n"/>
      <c r="AC30" s="77" t="n"/>
      <c r="AD30" s="77" t="n"/>
      <c r="AE30" s="89" t="n"/>
      <c r="AF30" s="77" t="n"/>
      <c r="AG30" s="77" t="n"/>
      <c r="AH30" s="77" t="n"/>
      <c r="AI30" s="77" t="n"/>
      <c r="AJ30" s="89" t="n"/>
      <c r="AK30" s="77" t="n"/>
      <c r="AL30" s="77" t="n"/>
      <c r="AM30" s="77" t="n"/>
      <c r="AN30" s="77" t="n"/>
      <c r="AO30" s="89" t="n"/>
      <c r="AP30" s="77" t="n"/>
      <c r="AQ30" s="77" t="n"/>
      <c r="AR30" s="77" t="n"/>
      <c r="AS30" s="77" t="n"/>
      <c r="AT30" s="89" t="n"/>
      <c r="AU30" s="77" t="n"/>
      <c r="AV30" s="77" t="n"/>
      <c r="AW30" s="77" t="n"/>
      <c r="AX30" s="77" t="n"/>
      <c r="AY30" s="89" t="n"/>
      <c r="AZ30" s="77" t="n"/>
      <c r="BA30" s="77" t="n"/>
      <c r="BB30" s="77" t="n"/>
      <c r="BC30" s="77" t="n"/>
      <c r="BD30" s="89" t="n"/>
      <c r="BE30" s="77" t="n"/>
      <c r="BF30" s="77" t="n"/>
      <c r="BG30" s="77" t="n"/>
      <c r="BH30" s="77" t="n"/>
      <c r="BI30" s="89" t="n"/>
      <c r="BJ30" s="77" t="n"/>
      <c r="BK30" s="77" t="n"/>
      <c r="BL30" s="77" t="n"/>
      <c r="BM30" s="77" t="n"/>
      <c r="BN30" s="90">
        <f>IF(COUNTA($F30:$BM30)=0,"",COUNTIF($F30:$BM30,"●")+COUNTIF($F30:$BM30,"✔")+COUNTIF($F30:$BM30,"R"))</f>
        <v/>
      </c>
      <c r="BO30" s="78">
        <f>IF(BN30="","",COUNTIF($F30:$BM30,"✔"))</f>
        <v/>
      </c>
      <c r="BP30" s="79">
        <f>IF(N(BN30)=0,"",BO30/BN30)</f>
        <v/>
      </c>
      <c r="BQ30" s="80">
        <f>IF(N(BN30)=0,"",IF(BO30=BN30,"Concluída",IF(COUNTIF($F30:$BM30,"R")&gt;0,"Reprogramada",IF(BO30&gt;0,"Em andamento","Planejada"))))</f>
        <v/>
      </c>
    </row>
    <row r="31" ht="19" customHeight="1">
      <c r="A31" s="72" t="n">
        <v>22</v>
      </c>
      <c r="B31" s="73" t="n"/>
      <c r="C31" s="74">
        <f>IF(B31="","",IFERROR(INDEX(tb_pcm_ativos[descricao_ativo],MATCH(B31,tb_pcm_ativos[tag],0)),"fora do cadastro"))</f>
        <v/>
      </c>
      <c r="D31" s="75" t="n"/>
      <c r="E31" s="76" t="n"/>
      <c r="F31" s="77" t="n"/>
      <c r="G31" s="77" t="n"/>
      <c r="H31" s="77" t="n"/>
      <c r="I31" s="77" t="n"/>
      <c r="J31" s="77" t="n"/>
      <c r="K31" s="89" t="n"/>
      <c r="L31" s="77" t="n"/>
      <c r="M31" s="77" t="n"/>
      <c r="N31" s="77" t="n"/>
      <c r="O31" s="77" t="n"/>
      <c r="P31" s="89" t="n"/>
      <c r="Q31" s="77" t="n"/>
      <c r="R31" s="77" t="n"/>
      <c r="S31" s="77" t="n"/>
      <c r="T31" s="77" t="n"/>
      <c r="U31" s="89" t="n"/>
      <c r="V31" s="77" t="n"/>
      <c r="W31" s="77" t="n"/>
      <c r="X31" s="77" t="n"/>
      <c r="Y31" s="77" t="n"/>
      <c r="Z31" s="89" t="n"/>
      <c r="AA31" s="77" t="n"/>
      <c r="AB31" s="77" t="n"/>
      <c r="AC31" s="77" t="n"/>
      <c r="AD31" s="77" t="n"/>
      <c r="AE31" s="89" t="n"/>
      <c r="AF31" s="77" t="n"/>
      <c r="AG31" s="77" t="n"/>
      <c r="AH31" s="77" t="n"/>
      <c r="AI31" s="77" t="n"/>
      <c r="AJ31" s="89" t="n"/>
      <c r="AK31" s="77" t="n"/>
      <c r="AL31" s="77" t="n"/>
      <c r="AM31" s="77" t="n"/>
      <c r="AN31" s="77" t="n"/>
      <c r="AO31" s="89" t="n"/>
      <c r="AP31" s="77" t="n"/>
      <c r="AQ31" s="77" t="n"/>
      <c r="AR31" s="77" t="n"/>
      <c r="AS31" s="77" t="n"/>
      <c r="AT31" s="89" t="n"/>
      <c r="AU31" s="77" t="n"/>
      <c r="AV31" s="77" t="n"/>
      <c r="AW31" s="77" t="n"/>
      <c r="AX31" s="77" t="n"/>
      <c r="AY31" s="89" t="n"/>
      <c r="AZ31" s="77" t="n"/>
      <c r="BA31" s="77" t="n"/>
      <c r="BB31" s="77" t="n"/>
      <c r="BC31" s="77" t="n"/>
      <c r="BD31" s="89" t="n"/>
      <c r="BE31" s="77" t="n"/>
      <c r="BF31" s="77" t="n"/>
      <c r="BG31" s="77" t="n"/>
      <c r="BH31" s="77" t="n"/>
      <c r="BI31" s="89" t="n"/>
      <c r="BJ31" s="77" t="n"/>
      <c r="BK31" s="77" t="n"/>
      <c r="BL31" s="77" t="n"/>
      <c r="BM31" s="77" t="n"/>
      <c r="BN31" s="90">
        <f>IF(COUNTA($F31:$BM31)=0,"",COUNTIF($F31:$BM31,"●")+COUNTIF($F31:$BM31,"✔")+COUNTIF($F31:$BM31,"R"))</f>
        <v/>
      </c>
      <c r="BO31" s="78">
        <f>IF(BN31="","",COUNTIF($F31:$BM31,"✔"))</f>
        <v/>
      </c>
      <c r="BP31" s="79">
        <f>IF(N(BN31)=0,"",BO31/BN31)</f>
        <v/>
      </c>
      <c r="BQ31" s="80">
        <f>IF(N(BN31)=0,"",IF(BO31=BN31,"Concluída",IF(COUNTIF($F31:$BM31,"R")&gt;0,"Reprogramada",IF(BO31&gt;0,"Em andamento","Planejada"))))</f>
        <v/>
      </c>
    </row>
    <row r="32" ht="19" customHeight="1">
      <c r="A32" s="72" t="n">
        <v>23</v>
      </c>
      <c r="B32" s="73" t="n"/>
      <c r="C32" s="74">
        <f>IF(B32="","",IFERROR(INDEX(tb_pcm_ativos[descricao_ativo],MATCH(B32,tb_pcm_ativos[tag],0)),"fora do cadastro"))</f>
        <v/>
      </c>
      <c r="D32" s="75" t="n"/>
      <c r="E32" s="76" t="n"/>
      <c r="F32" s="77" t="n"/>
      <c r="G32" s="77" t="n"/>
      <c r="H32" s="77" t="n"/>
      <c r="I32" s="77" t="n"/>
      <c r="J32" s="77" t="n"/>
      <c r="K32" s="89" t="n"/>
      <c r="L32" s="77" t="n"/>
      <c r="M32" s="77" t="n"/>
      <c r="N32" s="77" t="n"/>
      <c r="O32" s="77" t="n"/>
      <c r="P32" s="89" t="n"/>
      <c r="Q32" s="77" t="n"/>
      <c r="R32" s="77" t="n"/>
      <c r="S32" s="77" t="n"/>
      <c r="T32" s="77" t="n"/>
      <c r="U32" s="89" t="n"/>
      <c r="V32" s="77" t="n"/>
      <c r="W32" s="77" t="n"/>
      <c r="X32" s="77" t="n"/>
      <c r="Y32" s="77" t="n"/>
      <c r="Z32" s="89" t="n"/>
      <c r="AA32" s="77" t="n"/>
      <c r="AB32" s="77" t="n"/>
      <c r="AC32" s="77" t="n"/>
      <c r="AD32" s="77" t="n"/>
      <c r="AE32" s="89" t="n"/>
      <c r="AF32" s="77" t="n"/>
      <c r="AG32" s="77" t="n"/>
      <c r="AH32" s="77" t="n"/>
      <c r="AI32" s="77" t="n"/>
      <c r="AJ32" s="89" t="n"/>
      <c r="AK32" s="77" t="n"/>
      <c r="AL32" s="77" t="n"/>
      <c r="AM32" s="77" t="n"/>
      <c r="AN32" s="77" t="n"/>
      <c r="AO32" s="89" t="n"/>
      <c r="AP32" s="77" t="n"/>
      <c r="AQ32" s="77" t="n"/>
      <c r="AR32" s="77" t="n"/>
      <c r="AS32" s="77" t="n"/>
      <c r="AT32" s="89" t="n"/>
      <c r="AU32" s="77" t="n"/>
      <c r="AV32" s="77" t="n"/>
      <c r="AW32" s="77" t="n"/>
      <c r="AX32" s="77" t="n"/>
      <c r="AY32" s="89" t="n"/>
      <c r="AZ32" s="77" t="n"/>
      <c r="BA32" s="77" t="n"/>
      <c r="BB32" s="77" t="n"/>
      <c r="BC32" s="77" t="n"/>
      <c r="BD32" s="89" t="n"/>
      <c r="BE32" s="77" t="n"/>
      <c r="BF32" s="77" t="n"/>
      <c r="BG32" s="77" t="n"/>
      <c r="BH32" s="77" t="n"/>
      <c r="BI32" s="89" t="n"/>
      <c r="BJ32" s="77" t="n"/>
      <c r="BK32" s="77" t="n"/>
      <c r="BL32" s="77" t="n"/>
      <c r="BM32" s="77" t="n"/>
      <c r="BN32" s="90">
        <f>IF(COUNTA($F32:$BM32)=0,"",COUNTIF($F32:$BM32,"●")+COUNTIF($F32:$BM32,"✔")+COUNTIF($F32:$BM32,"R"))</f>
        <v/>
      </c>
      <c r="BO32" s="78">
        <f>IF(BN32="","",COUNTIF($F32:$BM32,"✔"))</f>
        <v/>
      </c>
      <c r="BP32" s="79">
        <f>IF(N(BN32)=0,"",BO32/BN32)</f>
        <v/>
      </c>
      <c r="BQ32" s="80">
        <f>IF(N(BN32)=0,"",IF(BO32=BN32,"Concluída",IF(COUNTIF($F32:$BM32,"R")&gt;0,"Reprogramada",IF(BO32&gt;0,"Em andamento","Planejada"))))</f>
        <v/>
      </c>
    </row>
    <row r="33" ht="19" customHeight="1">
      <c r="A33" s="72" t="n">
        <v>24</v>
      </c>
      <c r="B33" s="73" t="n"/>
      <c r="C33" s="74">
        <f>IF(B33="","",IFERROR(INDEX(tb_pcm_ativos[descricao_ativo],MATCH(B33,tb_pcm_ativos[tag],0)),"fora do cadastro"))</f>
        <v/>
      </c>
      <c r="D33" s="75" t="n"/>
      <c r="E33" s="76" t="n"/>
      <c r="F33" s="77" t="n"/>
      <c r="G33" s="77" t="n"/>
      <c r="H33" s="77" t="n"/>
      <c r="I33" s="77" t="n"/>
      <c r="J33" s="77" t="n"/>
      <c r="K33" s="89" t="n"/>
      <c r="L33" s="77" t="n"/>
      <c r="M33" s="77" t="n"/>
      <c r="N33" s="77" t="n"/>
      <c r="O33" s="77" t="n"/>
      <c r="P33" s="89" t="n"/>
      <c r="Q33" s="77" t="n"/>
      <c r="R33" s="77" t="n"/>
      <c r="S33" s="77" t="n"/>
      <c r="T33" s="77" t="n"/>
      <c r="U33" s="89" t="n"/>
      <c r="V33" s="77" t="n"/>
      <c r="W33" s="77" t="n"/>
      <c r="X33" s="77" t="n"/>
      <c r="Y33" s="77" t="n"/>
      <c r="Z33" s="89" t="n"/>
      <c r="AA33" s="77" t="n"/>
      <c r="AB33" s="77" t="n"/>
      <c r="AC33" s="77" t="n"/>
      <c r="AD33" s="77" t="n"/>
      <c r="AE33" s="89" t="n"/>
      <c r="AF33" s="77" t="n"/>
      <c r="AG33" s="77" t="n"/>
      <c r="AH33" s="77" t="n"/>
      <c r="AI33" s="77" t="n"/>
      <c r="AJ33" s="89" t="n"/>
      <c r="AK33" s="77" t="n"/>
      <c r="AL33" s="77" t="n"/>
      <c r="AM33" s="77" t="n"/>
      <c r="AN33" s="77" t="n"/>
      <c r="AO33" s="89" t="n"/>
      <c r="AP33" s="77" t="n"/>
      <c r="AQ33" s="77" t="n"/>
      <c r="AR33" s="77" t="n"/>
      <c r="AS33" s="77" t="n"/>
      <c r="AT33" s="89" t="n"/>
      <c r="AU33" s="77" t="n"/>
      <c r="AV33" s="77" t="n"/>
      <c r="AW33" s="77" t="n"/>
      <c r="AX33" s="77" t="n"/>
      <c r="AY33" s="89" t="n"/>
      <c r="AZ33" s="77" t="n"/>
      <c r="BA33" s="77" t="n"/>
      <c r="BB33" s="77" t="n"/>
      <c r="BC33" s="77" t="n"/>
      <c r="BD33" s="89" t="n"/>
      <c r="BE33" s="77" t="n"/>
      <c r="BF33" s="77" t="n"/>
      <c r="BG33" s="77" t="n"/>
      <c r="BH33" s="77" t="n"/>
      <c r="BI33" s="89" t="n"/>
      <c r="BJ33" s="77" t="n"/>
      <c r="BK33" s="77" t="n"/>
      <c r="BL33" s="77" t="n"/>
      <c r="BM33" s="77" t="n"/>
      <c r="BN33" s="90">
        <f>IF(COUNTA($F33:$BM33)=0,"",COUNTIF($F33:$BM33,"●")+COUNTIF($F33:$BM33,"✔")+COUNTIF($F33:$BM33,"R"))</f>
        <v/>
      </c>
      <c r="BO33" s="78">
        <f>IF(BN33="","",COUNTIF($F33:$BM33,"✔"))</f>
        <v/>
      </c>
      <c r="BP33" s="79">
        <f>IF(N(BN33)=0,"",BO33/BN33)</f>
        <v/>
      </c>
      <c r="BQ33" s="80">
        <f>IF(N(BN33)=0,"",IF(BO33=BN33,"Concluída",IF(COUNTIF($F33:$BM33,"R")&gt;0,"Reprogramada",IF(BO33&gt;0,"Em andamento","Planejada"))))</f>
        <v/>
      </c>
    </row>
    <row r="34" ht="19" customHeight="1">
      <c r="A34" s="72" t="n">
        <v>25</v>
      </c>
      <c r="B34" s="73" t="n"/>
      <c r="C34" s="74">
        <f>IF(B34="","",IFERROR(INDEX(tb_pcm_ativos[descricao_ativo],MATCH(B34,tb_pcm_ativos[tag],0)),"fora do cadastro"))</f>
        <v/>
      </c>
      <c r="D34" s="75" t="n"/>
      <c r="E34" s="76" t="n"/>
      <c r="F34" s="77" t="n"/>
      <c r="G34" s="77" t="n"/>
      <c r="H34" s="77" t="n"/>
      <c r="I34" s="77" t="n"/>
      <c r="J34" s="77" t="n"/>
      <c r="K34" s="89" t="n"/>
      <c r="L34" s="77" t="n"/>
      <c r="M34" s="77" t="n"/>
      <c r="N34" s="77" t="n"/>
      <c r="O34" s="77" t="n"/>
      <c r="P34" s="89" t="n"/>
      <c r="Q34" s="77" t="n"/>
      <c r="R34" s="77" t="n"/>
      <c r="S34" s="77" t="n"/>
      <c r="T34" s="77" t="n"/>
      <c r="U34" s="89" t="n"/>
      <c r="V34" s="77" t="n"/>
      <c r="W34" s="77" t="n"/>
      <c r="X34" s="77" t="n"/>
      <c r="Y34" s="77" t="n"/>
      <c r="Z34" s="89" t="n"/>
      <c r="AA34" s="77" t="n"/>
      <c r="AB34" s="77" t="n"/>
      <c r="AC34" s="77" t="n"/>
      <c r="AD34" s="77" t="n"/>
      <c r="AE34" s="89" t="n"/>
      <c r="AF34" s="77" t="n"/>
      <c r="AG34" s="77" t="n"/>
      <c r="AH34" s="77" t="n"/>
      <c r="AI34" s="77" t="n"/>
      <c r="AJ34" s="89" t="n"/>
      <c r="AK34" s="77" t="n"/>
      <c r="AL34" s="77" t="n"/>
      <c r="AM34" s="77" t="n"/>
      <c r="AN34" s="77" t="n"/>
      <c r="AO34" s="89" t="n"/>
      <c r="AP34" s="77" t="n"/>
      <c r="AQ34" s="77" t="n"/>
      <c r="AR34" s="77" t="n"/>
      <c r="AS34" s="77" t="n"/>
      <c r="AT34" s="89" t="n"/>
      <c r="AU34" s="77" t="n"/>
      <c r="AV34" s="77" t="n"/>
      <c r="AW34" s="77" t="n"/>
      <c r="AX34" s="77" t="n"/>
      <c r="AY34" s="89" t="n"/>
      <c r="AZ34" s="77" t="n"/>
      <c r="BA34" s="77" t="n"/>
      <c r="BB34" s="77" t="n"/>
      <c r="BC34" s="77" t="n"/>
      <c r="BD34" s="89" t="n"/>
      <c r="BE34" s="77" t="n"/>
      <c r="BF34" s="77" t="n"/>
      <c r="BG34" s="77" t="n"/>
      <c r="BH34" s="77" t="n"/>
      <c r="BI34" s="89" t="n"/>
      <c r="BJ34" s="77" t="n"/>
      <c r="BK34" s="77" t="n"/>
      <c r="BL34" s="77" t="n"/>
      <c r="BM34" s="77" t="n"/>
      <c r="BN34" s="90">
        <f>IF(COUNTA($F34:$BM34)=0,"",COUNTIF($F34:$BM34,"●")+COUNTIF($F34:$BM34,"✔")+COUNTIF($F34:$BM34,"R"))</f>
        <v/>
      </c>
      <c r="BO34" s="78">
        <f>IF(BN34="","",COUNTIF($F34:$BM34,"✔"))</f>
        <v/>
      </c>
      <c r="BP34" s="79">
        <f>IF(N(BN34)=0,"",BO34/BN34)</f>
        <v/>
      </c>
      <c r="BQ34" s="80">
        <f>IF(N(BN34)=0,"",IF(BO34=BN34,"Concluída",IF(COUNTIF($F34:$BM34,"R")&gt;0,"Reprogramada",IF(BO34&gt;0,"Em andamento","Planejada"))))</f>
        <v/>
      </c>
    </row>
    <row r="35" ht="19" customHeight="1">
      <c r="A35" s="72" t="n">
        <v>26</v>
      </c>
      <c r="B35" s="73" t="n"/>
      <c r="C35" s="74">
        <f>IF(B35="","",IFERROR(INDEX(tb_pcm_ativos[descricao_ativo],MATCH(B35,tb_pcm_ativos[tag],0)),"fora do cadastro"))</f>
        <v/>
      </c>
      <c r="D35" s="75" t="n"/>
      <c r="E35" s="76" t="n"/>
      <c r="F35" s="77" t="n"/>
      <c r="G35" s="77" t="n"/>
      <c r="H35" s="77" t="n"/>
      <c r="I35" s="77" t="n"/>
      <c r="J35" s="77" t="n"/>
      <c r="K35" s="89" t="n"/>
      <c r="L35" s="77" t="n"/>
      <c r="M35" s="77" t="n"/>
      <c r="N35" s="77" t="n"/>
      <c r="O35" s="77" t="n"/>
      <c r="P35" s="89" t="n"/>
      <c r="Q35" s="77" t="n"/>
      <c r="R35" s="77" t="n"/>
      <c r="S35" s="77" t="n"/>
      <c r="T35" s="77" t="n"/>
      <c r="U35" s="89" t="n"/>
      <c r="V35" s="77" t="n"/>
      <c r="W35" s="77" t="n"/>
      <c r="X35" s="77" t="n"/>
      <c r="Y35" s="77" t="n"/>
      <c r="Z35" s="89" t="n"/>
      <c r="AA35" s="77" t="n"/>
      <c r="AB35" s="77" t="n"/>
      <c r="AC35" s="77" t="n"/>
      <c r="AD35" s="77" t="n"/>
      <c r="AE35" s="89" t="n"/>
      <c r="AF35" s="77" t="n"/>
      <c r="AG35" s="77" t="n"/>
      <c r="AH35" s="77" t="n"/>
      <c r="AI35" s="77" t="n"/>
      <c r="AJ35" s="89" t="n"/>
      <c r="AK35" s="77" t="n"/>
      <c r="AL35" s="77" t="n"/>
      <c r="AM35" s="77" t="n"/>
      <c r="AN35" s="77" t="n"/>
      <c r="AO35" s="89" t="n"/>
      <c r="AP35" s="77" t="n"/>
      <c r="AQ35" s="77" t="n"/>
      <c r="AR35" s="77" t="n"/>
      <c r="AS35" s="77" t="n"/>
      <c r="AT35" s="89" t="n"/>
      <c r="AU35" s="77" t="n"/>
      <c r="AV35" s="77" t="n"/>
      <c r="AW35" s="77" t="n"/>
      <c r="AX35" s="77" t="n"/>
      <c r="AY35" s="89" t="n"/>
      <c r="AZ35" s="77" t="n"/>
      <c r="BA35" s="77" t="n"/>
      <c r="BB35" s="77" t="n"/>
      <c r="BC35" s="77" t="n"/>
      <c r="BD35" s="89" t="n"/>
      <c r="BE35" s="77" t="n"/>
      <c r="BF35" s="77" t="n"/>
      <c r="BG35" s="77" t="n"/>
      <c r="BH35" s="77" t="n"/>
      <c r="BI35" s="89" t="n"/>
      <c r="BJ35" s="77" t="n"/>
      <c r="BK35" s="77" t="n"/>
      <c r="BL35" s="77" t="n"/>
      <c r="BM35" s="77" t="n"/>
      <c r="BN35" s="90">
        <f>IF(COUNTA($F35:$BM35)=0,"",COUNTIF($F35:$BM35,"●")+COUNTIF($F35:$BM35,"✔")+COUNTIF($F35:$BM35,"R"))</f>
        <v/>
      </c>
      <c r="BO35" s="78">
        <f>IF(BN35="","",COUNTIF($F35:$BM35,"✔"))</f>
        <v/>
      </c>
      <c r="BP35" s="79">
        <f>IF(N(BN35)=0,"",BO35/BN35)</f>
        <v/>
      </c>
      <c r="BQ35" s="80">
        <f>IF(N(BN35)=0,"",IF(BO35=BN35,"Concluída",IF(COUNTIF($F35:$BM35,"R")&gt;0,"Reprogramada",IF(BO35&gt;0,"Em andamento","Planejada"))))</f>
        <v/>
      </c>
    </row>
    <row r="36" ht="19" customHeight="1">
      <c r="A36" s="72" t="n">
        <v>27</v>
      </c>
      <c r="B36" s="73" t="n"/>
      <c r="C36" s="74">
        <f>IF(B36="","",IFERROR(INDEX(tb_pcm_ativos[descricao_ativo],MATCH(B36,tb_pcm_ativos[tag],0)),"fora do cadastro"))</f>
        <v/>
      </c>
      <c r="D36" s="75" t="n"/>
      <c r="E36" s="76" t="n"/>
      <c r="F36" s="77" t="n"/>
      <c r="G36" s="77" t="n"/>
      <c r="H36" s="77" t="n"/>
      <c r="I36" s="77" t="n"/>
      <c r="J36" s="77" t="n"/>
      <c r="K36" s="89" t="n"/>
      <c r="L36" s="77" t="n"/>
      <c r="M36" s="77" t="n"/>
      <c r="N36" s="77" t="n"/>
      <c r="O36" s="77" t="n"/>
      <c r="P36" s="89" t="n"/>
      <c r="Q36" s="77" t="n"/>
      <c r="R36" s="77" t="n"/>
      <c r="S36" s="77" t="n"/>
      <c r="T36" s="77" t="n"/>
      <c r="U36" s="89" t="n"/>
      <c r="V36" s="77" t="n"/>
      <c r="W36" s="77" t="n"/>
      <c r="X36" s="77" t="n"/>
      <c r="Y36" s="77" t="n"/>
      <c r="Z36" s="89" t="n"/>
      <c r="AA36" s="77" t="n"/>
      <c r="AB36" s="77" t="n"/>
      <c r="AC36" s="77" t="n"/>
      <c r="AD36" s="77" t="n"/>
      <c r="AE36" s="89" t="n"/>
      <c r="AF36" s="77" t="n"/>
      <c r="AG36" s="77" t="n"/>
      <c r="AH36" s="77" t="n"/>
      <c r="AI36" s="77" t="n"/>
      <c r="AJ36" s="89" t="n"/>
      <c r="AK36" s="77" t="n"/>
      <c r="AL36" s="77" t="n"/>
      <c r="AM36" s="77" t="n"/>
      <c r="AN36" s="77" t="n"/>
      <c r="AO36" s="89" t="n"/>
      <c r="AP36" s="77" t="n"/>
      <c r="AQ36" s="77" t="n"/>
      <c r="AR36" s="77" t="n"/>
      <c r="AS36" s="77" t="n"/>
      <c r="AT36" s="89" t="n"/>
      <c r="AU36" s="77" t="n"/>
      <c r="AV36" s="77" t="n"/>
      <c r="AW36" s="77" t="n"/>
      <c r="AX36" s="77" t="n"/>
      <c r="AY36" s="89" t="n"/>
      <c r="AZ36" s="77" t="n"/>
      <c r="BA36" s="77" t="n"/>
      <c r="BB36" s="77" t="n"/>
      <c r="BC36" s="77" t="n"/>
      <c r="BD36" s="89" t="n"/>
      <c r="BE36" s="77" t="n"/>
      <c r="BF36" s="77" t="n"/>
      <c r="BG36" s="77" t="n"/>
      <c r="BH36" s="77" t="n"/>
      <c r="BI36" s="89" t="n"/>
      <c r="BJ36" s="77" t="n"/>
      <c r="BK36" s="77" t="n"/>
      <c r="BL36" s="77" t="n"/>
      <c r="BM36" s="77" t="n"/>
      <c r="BN36" s="90">
        <f>IF(COUNTA($F36:$BM36)=0,"",COUNTIF($F36:$BM36,"●")+COUNTIF($F36:$BM36,"✔")+COUNTIF($F36:$BM36,"R"))</f>
        <v/>
      </c>
      <c r="BO36" s="78">
        <f>IF(BN36="","",COUNTIF($F36:$BM36,"✔"))</f>
        <v/>
      </c>
      <c r="BP36" s="79">
        <f>IF(N(BN36)=0,"",BO36/BN36)</f>
        <v/>
      </c>
      <c r="BQ36" s="80">
        <f>IF(N(BN36)=0,"",IF(BO36=BN36,"Concluída",IF(COUNTIF($F36:$BM36,"R")&gt;0,"Reprogramada",IF(BO36&gt;0,"Em andamento","Planejada"))))</f>
        <v/>
      </c>
    </row>
    <row r="37" ht="19" customHeight="1">
      <c r="A37" s="72" t="n">
        <v>28</v>
      </c>
      <c r="B37" s="73" t="n"/>
      <c r="C37" s="74">
        <f>IF(B37="","",IFERROR(INDEX(tb_pcm_ativos[descricao_ativo],MATCH(B37,tb_pcm_ativos[tag],0)),"fora do cadastro"))</f>
        <v/>
      </c>
      <c r="D37" s="75" t="n"/>
      <c r="E37" s="76" t="n"/>
      <c r="F37" s="77" t="n"/>
      <c r="G37" s="77" t="n"/>
      <c r="H37" s="77" t="n"/>
      <c r="I37" s="77" t="n"/>
      <c r="J37" s="77" t="n"/>
      <c r="K37" s="89" t="n"/>
      <c r="L37" s="77" t="n"/>
      <c r="M37" s="77" t="n"/>
      <c r="N37" s="77" t="n"/>
      <c r="O37" s="77" t="n"/>
      <c r="P37" s="89" t="n"/>
      <c r="Q37" s="77" t="n"/>
      <c r="R37" s="77" t="n"/>
      <c r="S37" s="77" t="n"/>
      <c r="T37" s="77" t="n"/>
      <c r="U37" s="89" t="n"/>
      <c r="V37" s="77" t="n"/>
      <c r="W37" s="77" t="n"/>
      <c r="X37" s="77" t="n"/>
      <c r="Y37" s="77" t="n"/>
      <c r="Z37" s="89" t="n"/>
      <c r="AA37" s="77" t="n"/>
      <c r="AB37" s="77" t="n"/>
      <c r="AC37" s="77" t="n"/>
      <c r="AD37" s="77" t="n"/>
      <c r="AE37" s="89" t="n"/>
      <c r="AF37" s="77" t="n"/>
      <c r="AG37" s="77" t="n"/>
      <c r="AH37" s="77" t="n"/>
      <c r="AI37" s="77" t="n"/>
      <c r="AJ37" s="89" t="n"/>
      <c r="AK37" s="77" t="n"/>
      <c r="AL37" s="77" t="n"/>
      <c r="AM37" s="77" t="n"/>
      <c r="AN37" s="77" t="n"/>
      <c r="AO37" s="89" t="n"/>
      <c r="AP37" s="77" t="n"/>
      <c r="AQ37" s="77" t="n"/>
      <c r="AR37" s="77" t="n"/>
      <c r="AS37" s="77" t="n"/>
      <c r="AT37" s="89" t="n"/>
      <c r="AU37" s="77" t="n"/>
      <c r="AV37" s="77" t="n"/>
      <c r="AW37" s="77" t="n"/>
      <c r="AX37" s="77" t="n"/>
      <c r="AY37" s="89" t="n"/>
      <c r="AZ37" s="77" t="n"/>
      <c r="BA37" s="77" t="n"/>
      <c r="BB37" s="77" t="n"/>
      <c r="BC37" s="77" t="n"/>
      <c r="BD37" s="89" t="n"/>
      <c r="BE37" s="77" t="n"/>
      <c r="BF37" s="77" t="n"/>
      <c r="BG37" s="77" t="n"/>
      <c r="BH37" s="77" t="n"/>
      <c r="BI37" s="89" t="n"/>
      <c r="BJ37" s="77" t="n"/>
      <c r="BK37" s="77" t="n"/>
      <c r="BL37" s="77" t="n"/>
      <c r="BM37" s="77" t="n"/>
      <c r="BN37" s="90">
        <f>IF(COUNTA($F37:$BM37)=0,"",COUNTIF($F37:$BM37,"●")+COUNTIF($F37:$BM37,"✔")+COUNTIF($F37:$BM37,"R"))</f>
        <v/>
      </c>
      <c r="BO37" s="78">
        <f>IF(BN37="","",COUNTIF($F37:$BM37,"✔"))</f>
        <v/>
      </c>
      <c r="BP37" s="79">
        <f>IF(N(BN37)=0,"",BO37/BN37)</f>
        <v/>
      </c>
      <c r="BQ37" s="80">
        <f>IF(N(BN37)=0,"",IF(BO37=BN37,"Concluída",IF(COUNTIF($F37:$BM37,"R")&gt;0,"Reprogramada",IF(BO37&gt;0,"Em andamento","Planejada"))))</f>
        <v/>
      </c>
    </row>
    <row r="38" ht="19" customHeight="1">
      <c r="A38" s="72" t="n">
        <v>29</v>
      </c>
      <c r="B38" s="73" t="n"/>
      <c r="C38" s="74">
        <f>IF(B38="","",IFERROR(INDEX(tb_pcm_ativos[descricao_ativo],MATCH(B38,tb_pcm_ativos[tag],0)),"fora do cadastro"))</f>
        <v/>
      </c>
      <c r="D38" s="75" t="n"/>
      <c r="E38" s="76" t="n"/>
      <c r="F38" s="77" t="n"/>
      <c r="G38" s="77" t="n"/>
      <c r="H38" s="77" t="n"/>
      <c r="I38" s="77" t="n"/>
      <c r="J38" s="77" t="n"/>
      <c r="K38" s="89" t="n"/>
      <c r="L38" s="77" t="n"/>
      <c r="M38" s="77" t="n"/>
      <c r="N38" s="77" t="n"/>
      <c r="O38" s="77" t="n"/>
      <c r="P38" s="89" t="n"/>
      <c r="Q38" s="77" t="n"/>
      <c r="R38" s="77" t="n"/>
      <c r="S38" s="77" t="n"/>
      <c r="T38" s="77" t="n"/>
      <c r="U38" s="89" t="n"/>
      <c r="V38" s="77" t="n"/>
      <c r="W38" s="77" t="n"/>
      <c r="X38" s="77" t="n"/>
      <c r="Y38" s="77" t="n"/>
      <c r="Z38" s="89" t="n"/>
      <c r="AA38" s="77" t="n"/>
      <c r="AB38" s="77" t="n"/>
      <c r="AC38" s="77" t="n"/>
      <c r="AD38" s="77" t="n"/>
      <c r="AE38" s="89" t="n"/>
      <c r="AF38" s="77" t="n"/>
      <c r="AG38" s="77" t="n"/>
      <c r="AH38" s="77" t="n"/>
      <c r="AI38" s="77" t="n"/>
      <c r="AJ38" s="89" t="n"/>
      <c r="AK38" s="77" t="n"/>
      <c r="AL38" s="77" t="n"/>
      <c r="AM38" s="77" t="n"/>
      <c r="AN38" s="77" t="n"/>
      <c r="AO38" s="89" t="n"/>
      <c r="AP38" s="77" t="n"/>
      <c r="AQ38" s="77" t="n"/>
      <c r="AR38" s="77" t="n"/>
      <c r="AS38" s="77" t="n"/>
      <c r="AT38" s="89" t="n"/>
      <c r="AU38" s="77" t="n"/>
      <c r="AV38" s="77" t="n"/>
      <c r="AW38" s="77" t="n"/>
      <c r="AX38" s="77" t="n"/>
      <c r="AY38" s="89" t="n"/>
      <c r="AZ38" s="77" t="n"/>
      <c r="BA38" s="77" t="n"/>
      <c r="BB38" s="77" t="n"/>
      <c r="BC38" s="77" t="n"/>
      <c r="BD38" s="89" t="n"/>
      <c r="BE38" s="77" t="n"/>
      <c r="BF38" s="77" t="n"/>
      <c r="BG38" s="77" t="n"/>
      <c r="BH38" s="77" t="n"/>
      <c r="BI38" s="89" t="n"/>
      <c r="BJ38" s="77" t="n"/>
      <c r="BK38" s="77" t="n"/>
      <c r="BL38" s="77" t="n"/>
      <c r="BM38" s="77" t="n"/>
      <c r="BN38" s="90">
        <f>IF(COUNTA($F38:$BM38)=0,"",COUNTIF($F38:$BM38,"●")+COUNTIF($F38:$BM38,"✔")+COUNTIF($F38:$BM38,"R"))</f>
        <v/>
      </c>
      <c r="BO38" s="78">
        <f>IF(BN38="","",COUNTIF($F38:$BM38,"✔"))</f>
        <v/>
      </c>
      <c r="BP38" s="79">
        <f>IF(N(BN38)=0,"",BO38/BN38)</f>
        <v/>
      </c>
      <c r="BQ38" s="80">
        <f>IF(N(BN38)=0,"",IF(BO38=BN38,"Concluída",IF(COUNTIF($F38:$BM38,"R")&gt;0,"Reprogramada",IF(BO38&gt;0,"Em andamento","Planejada"))))</f>
        <v/>
      </c>
    </row>
    <row r="39" ht="19" customHeight="1">
      <c r="A39" s="72" t="n">
        <v>30</v>
      </c>
      <c r="B39" s="73" t="n"/>
      <c r="C39" s="74">
        <f>IF(B39="","",IFERROR(INDEX(tb_pcm_ativos[descricao_ativo],MATCH(B39,tb_pcm_ativos[tag],0)),"fora do cadastro"))</f>
        <v/>
      </c>
      <c r="D39" s="75" t="n"/>
      <c r="E39" s="76" t="n"/>
      <c r="F39" s="77" t="n"/>
      <c r="G39" s="77" t="n"/>
      <c r="H39" s="77" t="n"/>
      <c r="I39" s="77" t="n"/>
      <c r="J39" s="77" t="n"/>
      <c r="K39" s="89" t="n"/>
      <c r="L39" s="77" t="n"/>
      <c r="M39" s="77" t="n"/>
      <c r="N39" s="77" t="n"/>
      <c r="O39" s="77" t="n"/>
      <c r="P39" s="89" t="n"/>
      <c r="Q39" s="77" t="n"/>
      <c r="R39" s="77" t="n"/>
      <c r="S39" s="77" t="n"/>
      <c r="T39" s="77" t="n"/>
      <c r="U39" s="89" t="n"/>
      <c r="V39" s="77" t="n"/>
      <c r="W39" s="77" t="n"/>
      <c r="X39" s="77" t="n"/>
      <c r="Y39" s="77" t="n"/>
      <c r="Z39" s="89" t="n"/>
      <c r="AA39" s="77" t="n"/>
      <c r="AB39" s="77" t="n"/>
      <c r="AC39" s="77" t="n"/>
      <c r="AD39" s="77" t="n"/>
      <c r="AE39" s="89" t="n"/>
      <c r="AF39" s="77" t="n"/>
      <c r="AG39" s="77" t="n"/>
      <c r="AH39" s="77" t="n"/>
      <c r="AI39" s="77" t="n"/>
      <c r="AJ39" s="89" t="n"/>
      <c r="AK39" s="77" t="n"/>
      <c r="AL39" s="77" t="n"/>
      <c r="AM39" s="77" t="n"/>
      <c r="AN39" s="77" t="n"/>
      <c r="AO39" s="89" t="n"/>
      <c r="AP39" s="77" t="n"/>
      <c r="AQ39" s="77" t="n"/>
      <c r="AR39" s="77" t="n"/>
      <c r="AS39" s="77" t="n"/>
      <c r="AT39" s="89" t="n"/>
      <c r="AU39" s="77" t="n"/>
      <c r="AV39" s="77" t="n"/>
      <c r="AW39" s="77" t="n"/>
      <c r="AX39" s="77" t="n"/>
      <c r="AY39" s="89" t="n"/>
      <c r="AZ39" s="77" t="n"/>
      <c r="BA39" s="77" t="n"/>
      <c r="BB39" s="77" t="n"/>
      <c r="BC39" s="77" t="n"/>
      <c r="BD39" s="89" t="n"/>
      <c r="BE39" s="77" t="n"/>
      <c r="BF39" s="77" t="n"/>
      <c r="BG39" s="77" t="n"/>
      <c r="BH39" s="77" t="n"/>
      <c r="BI39" s="89" t="n"/>
      <c r="BJ39" s="77" t="n"/>
      <c r="BK39" s="77" t="n"/>
      <c r="BL39" s="77" t="n"/>
      <c r="BM39" s="77" t="n"/>
      <c r="BN39" s="90">
        <f>IF(COUNTA($F39:$BM39)=0,"",COUNTIF($F39:$BM39,"●")+COUNTIF($F39:$BM39,"✔")+COUNTIF($F39:$BM39,"R"))</f>
        <v/>
      </c>
      <c r="BO39" s="78">
        <f>IF(BN39="","",COUNTIF($F39:$BM39,"✔"))</f>
        <v/>
      </c>
      <c r="BP39" s="79">
        <f>IF(N(BN39)=0,"",BO39/BN39)</f>
        <v/>
      </c>
      <c r="BQ39" s="80">
        <f>IF(N(BN39)=0,"",IF(BO39=BN39,"Concluída",IF(COUNTIF($F39:$BM39,"R")&gt;0,"Reprogramada",IF(BO39&gt;0,"Em andamento","Planejada"))))</f>
        <v/>
      </c>
    </row>
    <row r="40" ht="20" customHeight="1">
      <c r="A40" s="81" t="inlineStr">
        <is>
          <r>
            <rPr>
              <rFont val="Arial"/>
              <b val="1"/>
              <color rgb="006B7686"/>
              <sz val="8"/>
            </rPr>
            <t xml:space="preserve">●  planejado      </t>
          </r>
          <r>
            <rPr>
              <rFont val="Arial"/>
              <b val="1"/>
              <color rgb="006B7686"/>
              <sz val="8"/>
            </rPr>
            <t xml:space="preserve">✔  realizado      </t>
          </r>
          <r>
            <rPr>
              <rFont val="Arial"/>
              <b val="1"/>
              <color rgb="006B7686"/>
              <sz val="8"/>
            </rPr>
            <t xml:space="preserve">R  reprogramado      </t>
          </r>
          <r>
            <rPr>
              <rFont val="Arial"/>
              <b val="1"/>
              <color rgb="006B7686"/>
              <sz val="8"/>
            </rPr>
            <t xml:space="preserve">|    Escolha a marcação na seta de cada célula. Escolha o ano no topo. Semanas do mês: 1 = dias 1 a 7 ... 5 = dia 29 ao fim.      </t>
          </r>
        </is>
      </c>
    </row>
  </sheetData>
  <mergeCells count="43">
    <mergeCell ref="E8:E9"/>
    <mergeCell ref="D1:BH1"/>
    <mergeCell ref="AO8:AS8"/>
    <mergeCell ref="B8:B9"/>
    <mergeCell ref="A3:C3"/>
    <mergeCell ref="AY8:BC8"/>
    <mergeCell ref="BO3:BQ3"/>
    <mergeCell ref="AT8:AX8"/>
    <mergeCell ref="AJ8:AN8"/>
    <mergeCell ref="BI8:BM8"/>
    <mergeCell ref="D2:BH2"/>
    <mergeCell ref="A1:C2"/>
    <mergeCell ref="BD8:BH8"/>
    <mergeCell ref="AR3:BD3"/>
    <mergeCell ref="F4:R4"/>
    <mergeCell ref="P8:T8"/>
    <mergeCell ref="BE3:BN3"/>
    <mergeCell ref="BP8:BP9"/>
    <mergeCell ref="AE4:AQ4"/>
    <mergeCell ref="A4:C4"/>
    <mergeCell ref="F8:J8"/>
    <mergeCell ref="AE8:AI8"/>
    <mergeCell ref="A8:A9"/>
    <mergeCell ref="C8:C9"/>
    <mergeCell ref="Z8:AD8"/>
    <mergeCell ref="BI1:BQ1"/>
    <mergeCell ref="K8:O8"/>
    <mergeCell ref="D8:D9"/>
    <mergeCell ref="S4:AD4"/>
    <mergeCell ref="D4:E4"/>
    <mergeCell ref="AE3:AQ3"/>
    <mergeCell ref="BO8:BO9"/>
    <mergeCell ref="F3:R3"/>
    <mergeCell ref="BE4:BN4"/>
    <mergeCell ref="BQ8:BQ9"/>
    <mergeCell ref="D3:E3"/>
    <mergeCell ref="BO4:BQ4"/>
    <mergeCell ref="U8:Y8"/>
    <mergeCell ref="BI2:BQ2"/>
    <mergeCell ref="AR4:BD4"/>
    <mergeCell ref="BN8:BN9"/>
    <mergeCell ref="S3:AD3"/>
    <mergeCell ref="A40:BQ40"/>
  </mergeCells>
  <conditionalFormatting sqref="F10:BM39">
    <cfRule type="expression" priority="1" dxfId="0" stopIfTrue="1">
      <formula>F10="●"</formula>
    </cfRule>
    <cfRule type="expression" priority="2" dxfId="1" stopIfTrue="1">
      <formula>F10="✔"</formula>
    </cfRule>
    <cfRule type="expression" priority="3" dxfId="2" stopIfTrue="1">
      <formula>F10="R"</formula>
    </cfRule>
  </conditionalFormatting>
  <conditionalFormatting sqref="BQ10:BQ39">
    <cfRule type="expression" priority="4" dxfId="0" stopIfTrue="1">
      <formula>BQ10="Planejada"</formula>
    </cfRule>
    <cfRule type="expression" priority="5" dxfId="3" stopIfTrue="1">
      <formula>BQ10="Em andamento"</formula>
    </cfRule>
    <cfRule type="expression" priority="6" dxfId="4" stopIfTrue="1">
      <formula>BQ10="Concluída"</formula>
    </cfRule>
    <cfRule type="expression" priority="7" dxfId="2" stopIfTrue="1">
      <formula>BQ10="Reprogramada"</formula>
    </cfRule>
  </conditionalFormatting>
  <dataValidations count="5">
    <dataValidation sqref="A4" showDropDown="0" showInputMessage="0" showErrorMessage="1" allowBlank="1" errorTitle="Valor fora da lista" error="Escolha um item da lista." type="list" errorStyle="stop">
      <formula1>"2025,2026,2027,2028,2029,2030,2031,2032,2033,2034,2035"</formula1>
    </dataValidation>
    <dataValidation sqref="D4" showDropDown="0" showInputMessage="0" showErrorMessage="1" allowBlank="1" errorTitle="Valor fora da lista" error="Escolha um item da lista." type="list" errorStyle="stop">
      <formula1>L_PESSOAS</formula1>
    </dataValidation>
    <dataValidation sqref="B10:B39" showDropDown="0" showInputMessage="0" showErrorMessage="1" allowBlank="1" errorTitle="Valor fora da lista" error="Escolha um item da lista." type="list" errorStyle="stop">
      <formula1>L_TAGS</formula1>
    </dataValidation>
    <dataValidation sqref="E10:E39" showDropDown="0" showInputMessage="0" showErrorMessage="1" allowBlank="1" errorTitle="Valor fora da lista" error="Escolha um item da lista." type="list" errorStyle="stop">
      <formula1>L_PESSOAS</formula1>
    </dataValidation>
    <dataValidation sqref="F10:BM39" showDropDown="0" showInputMessage="0" showErrorMessage="1" allowBlank="1" errorTitle="Valor fora da lista" error="Escolha um item da lista." type="list" errorStyle="stop">
      <formula1>"●,✔,R"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40" t="n"/>
      <c r="B1" s="42" t="n"/>
      <c r="C1" s="43" t="inlineStr">
        <is>
          <t>Cadastros</t>
        </is>
      </c>
      <c r="D1" s="41" t="n"/>
      <c r="E1" s="41" t="n"/>
      <c r="F1" s="41" t="n"/>
      <c r="G1" s="42" t="n"/>
      <c r="H1" s="44">
        <f>"Rev. "&amp;'Leia-me'!$D$15&amp;"   ·   "&amp;'Leia-me'!$D$16</f>
        <v/>
      </c>
      <c r="I1" s="41" t="n"/>
      <c r="J1" s="42" t="n"/>
    </row>
    <row r="2" ht="28" customHeight="1">
      <c r="A2" s="45" t="n"/>
      <c r="B2" s="47" t="n"/>
      <c r="C2" s="48" t="inlineStr">
        <is>
          <t>Objetivo: Cadastre aqui os itens usados nas listas (▼) das outras abas.</t>
        </is>
      </c>
      <c r="D2" s="46" t="n"/>
      <c r="E2" s="46" t="n"/>
      <c r="F2" s="46" t="n"/>
      <c r="G2" s="47" t="n"/>
      <c r="H2" s="48">
        <f>"Elaborado: "&amp;'Leia-me'!$D$13&amp;"   ·   Aprovado: "&amp;'Leia-me'!$D$14</f>
        <v/>
      </c>
      <c r="I2" s="46" t="n"/>
      <c r="J2" s="47" t="n"/>
    </row>
    <row r="3" ht="32" customHeight="1">
      <c r="A3" s="93" t="inlineStr">
        <is>
          <t>TAG</t>
        </is>
      </c>
      <c r="B3" s="94" t="inlineStr">
        <is>
          <t>Equipamento</t>
        </is>
      </c>
      <c r="C3" s="94" t="inlineStr">
        <is>
          <t>Família de equipamento ▼</t>
        </is>
      </c>
      <c r="D3" s="95" t="inlineStr">
        <is>
          <t>Setor ▼</t>
        </is>
      </c>
      <c r="F3" s="96" t="inlineStr">
        <is>
          <t>Responsável</t>
        </is>
      </c>
      <c r="H3" s="96" t="inlineStr">
        <is>
          <t>Família de equipamento</t>
        </is>
      </c>
      <c r="J3" s="96" t="inlineStr">
        <is>
          <t>Setor</t>
        </is>
      </c>
    </row>
    <row r="4" hidden="1">
      <c r="A4" s="97" t="inlineStr">
        <is>
          <t>tag</t>
        </is>
      </c>
      <c r="B4" s="97" t="inlineStr">
        <is>
          <t>descricao_ativo</t>
        </is>
      </c>
      <c r="C4" s="97" t="inlineStr">
        <is>
          <t>familia</t>
        </is>
      </c>
      <c r="D4" s="97" t="inlineStr">
        <is>
          <t>setor</t>
        </is>
      </c>
      <c r="F4" s="97" t="inlineStr">
        <is>
          <t>nome_pessoa</t>
        </is>
      </c>
      <c r="H4" s="97" t="inlineStr">
        <is>
          <t>nome_familia</t>
        </is>
      </c>
      <c r="J4" s="97" t="inlineStr">
        <is>
          <t>nome_setor</t>
        </is>
      </c>
    </row>
    <row r="5" ht="22" customHeight="1">
      <c r="A5" s="98" t="n"/>
      <c r="B5" s="99" t="n"/>
      <c r="C5" s="99" t="n"/>
      <c r="D5" s="100" t="n"/>
      <c r="F5" s="101" t="n"/>
      <c r="H5" s="101" t="n"/>
      <c r="J5" s="101" t="n"/>
    </row>
    <row r="6" ht="22" customHeight="1">
      <c r="A6" s="98" t="n"/>
      <c r="B6" s="99" t="n"/>
      <c r="C6" s="99" t="n"/>
      <c r="D6" s="100" t="n"/>
      <c r="F6" s="101" t="n"/>
      <c r="H6" s="101" t="n"/>
      <c r="J6" s="101" t="n"/>
    </row>
    <row r="7" ht="22" customHeight="1">
      <c r="A7" s="98" t="n"/>
      <c r="B7" s="99" t="n"/>
      <c r="C7" s="99" t="n"/>
      <c r="D7" s="100" t="n"/>
      <c r="F7" s="101" t="n"/>
      <c r="H7" s="101" t="n"/>
      <c r="J7" s="101" t="n"/>
    </row>
    <row r="8" ht="22" customHeight="1">
      <c r="A8" s="98" t="n"/>
      <c r="B8" s="99" t="n"/>
      <c r="C8" s="99" t="n"/>
      <c r="D8" s="100" t="n"/>
      <c r="F8" s="101" t="n"/>
      <c r="H8" s="101" t="n"/>
      <c r="J8" s="101" t="n"/>
    </row>
    <row r="9" ht="22" customHeight="1">
      <c r="A9" s="98" t="n"/>
      <c r="B9" s="99" t="n"/>
      <c r="C9" s="99" t="n"/>
      <c r="D9" s="100" t="n"/>
      <c r="F9" s="101" t="n"/>
      <c r="H9" s="101" t="n"/>
      <c r="J9" s="101" t="n"/>
    </row>
    <row r="10" ht="22" customHeight="1">
      <c r="A10" s="98" t="n"/>
      <c r="B10" s="99" t="n"/>
      <c r="C10" s="99" t="n"/>
      <c r="D10" s="100" t="n"/>
      <c r="F10" s="101" t="n"/>
      <c r="H10" s="101" t="n"/>
      <c r="J10" s="101" t="n"/>
    </row>
    <row r="11" ht="22" customHeight="1">
      <c r="A11" s="98" t="n"/>
      <c r="B11" s="99" t="n"/>
      <c r="C11" s="99" t="n"/>
      <c r="D11" s="100" t="n"/>
      <c r="F11" s="101" t="n"/>
      <c r="H11" s="101" t="n"/>
      <c r="J11" s="101" t="n"/>
    </row>
    <row r="12" ht="22" customHeight="1">
      <c r="A12" s="98" t="n"/>
      <c r="B12" s="99" t="n"/>
      <c r="C12" s="99" t="n"/>
      <c r="D12" s="100" t="n"/>
      <c r="F12" s="101" t="n"/>
      <c r="H12" s="101" t="n"/>
      <c r="J12" s="101" t="n"/>
    </row>
    <row r="13" ht="22" customHeight="1">
      <c r="A13" s="98" t="n"/>
      <c r="B13" s="99" t="n"/>
      <c r="C13" s="99" t="n"/>
      <c r="D13" s="100" t="n"/>
      <c r="F13" s="101" t="n"/>
      <c r="H13" s="101" t="n"/>
      <c r="J13" s="101" t="n"/>
    </row>
    <row r="14" ht="22" customHeight="1">
      <c r="A14" s="98" t="n"/>
      <c r="B14" s="99" t="n"/>
      <c r="C14" s="99" t="n"/>
      <c r="D14" s="100" t="n"/>
      <c r="F14" s="101" t="n"/>
      <c r="H14" s="101" t="n"/>
      <c r="J14" s="101" t="n"/>
    </row>
    <row r="15" ht="22" customHeight="1">
      <c r="A15" s="98" t="n"/>
      <c r="B15" s="99" t="n"/>
      <c r="C15" s="99" t="n"/>
      <c r="D15" s="100" t="n"/>
      <c r="F15" s="101" t="n"/>
      <c r="H15" s="101" t="n"/>
      <c r="J15" s="101" t="n"/>
    </row>
    <row r="16" ht="22" customHeight="1">
      <c r="A16" s="98" t="n"/>
      <c r="B16" s="99" t="n"/>
      <c r="C16" s="99" t="n"/>
      <c r="D16" s="100" t="n"/>
      <c r="F16" s="101" t="n"/>
      <c r="H16" s="101" t="n"/>
      <c r="J16" s="101" t="n"/>
    </row>
    <row r="17" ht="22" customHeight="1">
      <c r="A17" s="98" t="n"/>
      <c r="B17" s="99" t="n"/>
      <c r="C17" s="99" t="n"/>
      <c r="D17" s="100" t="n"/>
      <c r="F17" s="101" t="n"/>
      <c r="H17" s="101" t="n"/>
      <c r="J17" s="101" t="n"/>
    </row>
    <row r="18" ht="22" customHeight="1">
      <c r="A18" s="98" t="n"/>
      <c r="B18" s="99" t="n"/>
      <c r="C18" s="99" t="n"/>
      <c r="D18" s="100" t="n"/>
      <c r="F18" s="101" t="n"/>
      <c r="H18" s="101" t="n"/>
      <c r="J18" s="101" t="n"/>
    </row>
    <row r="19" ht="22" customHeight="1">
      <c r="A19" s="98" t="n"/>
      <c r="B19" s="99" t="n"/>
      <c r="C19" s="99" t="n"/>
      <c r="D19" s="100" t="n"/>
      <c r="F19" s="101" t="n"/>
      <c r="H19" s="101" t="n"/>
      <c r="J19" s="101" t="n"/>
    </row>
    <row r="20" ht="22" customHeight="1">
      <c r="A20" s="98" t="n"/>
      <c r="B20" s="99" t="n"/>
      <c r="C20" s="99" t="n"/>
      <c r="D20" s="100" t="n"/>
      <c r="F20" s="101" t="n"/>
      <c r="H20" s="101" t="n"/>
      <c r="J20" s="101" t="n"/>
    </row>
    <row r="21" ht="22" customHeight="1">
      <c r="A21" s="98" t="n"/>
      <c r="B21" s="99" t="n"/>
      <c r="C21" s="99" t="n"/>
      <c r="D21" s="100" t="n"/>
      <c r="F21" s="101" t="n"/>
      <c r="H21" s="101" t="n"/>
      <c r="J21" s="101" t="n"/>
    </row>
    <row r="22" ht="22" customHeight="1">
      <c r="A22" s="98" t="n"/>
      <c r="B22" s="99" t="n"/>
      <c r="C22" s="99" t="n"/>
      <c r="D22" s="100" t="n"/>
      <c r="F22" s="101" t="n"/>
      <c r="H22" s="101" t="n"/>
      <c r="J22" s="101" t="n"/>
    </row>
    <row r="23" ht="22" customHeight="1">
      <c r="A23" s="98" t="n"/>
      <c r="B23" s="99" t="n"/>
      <c r="C23" s="99" t="n"/>
      <c r="D23" s="100" t="n"/>
      <c r="F23" s="101" t="n"/>
      <c r="H23" s="101" t="n"/>
      <c r="J23" s="101" t="n"/>
    </row>
    <row r="24" ht="22" customHeight="1">
      <c r="A24" s="98" t="n"/>
      <c r="B24" s="99" t="n"/>
      <c r="C24" s="99" t="n"/>
      <c r="D24" s="100" t="n"/>
      <c r="F24" s="101" t="n"/>
      <c r="H24" s="101" t="n"/>
      <c r="J24" s="101" t="n"/>
    </row>
    <row r="25" ht="22" customHeight="1">
      <c r="A25" s="98" t="n"/>
      <c r="B25" s="99" t="n"/>
      <c r="C25" s="99" t="n"/>
      <c r="D25" s="100" t="n"/>
      <c r="F25" s="101" t="n"/>
      <c r="H25" s="101" t="n"/>
      <c r="J25" s="101" t="n"/>
    </row>
    <row r="26" ht="22" customHeight="1">
      <c r="A26" s="98" t="n"/>
      <c r="B26" s="99" t="n"/>
      <c r="C26" s="99" t="n"/>
      <c r="D26" s="100" t="n"/>
      <c r="F26" s="101" t="n"/>
      <c r="H26" s="101" t="n"/>
      <c r="J26" s="101" t="n"/>
    </row>
    <row r="27" ht="22" customHeight="1">
      <c r="A27" s="98" t="n"/>
      <c r="B27" s="99" t="n"/>
      <c r="C27" s="99" t="n"/>
      <c r="D27" s="100" t="n"/>
      <c r="F27" s="101" t="n"/>
      <c r="H27" s="101" t="n"/>
      <c r="J27" s="101" t="n"/>
    </row>
    <row r="28" ht="22" customHeight="1">
      <c r="A28" s="98" t="n"/>
      <c r="B28" s="99" t="n"/>
      <c r="C28" s="99" t="n"/>
      <c r="D28" s="100" t="n"/>
      <c r="F28" s="101" t="n"/>
      <c r="H28" s="101" t="n"/>
      <c r="J28" s="101" t="n"/>
    </row>
    <row r="29" ht="22" customHeight="1">
      <c r="A29" s="102" t="n"/>
      <c r="B29" s="103" t="n"/>
      <c r="C29" s="103" t="n"/>
      <c r="D29" s="104" t="n"/>
      <c r="F29" s="105" t="n"/>
      <c r="H29" s="105" t="n"/>
      <c r="J29" s="105" t="n"/>
    </row>
    <row r="30" ht="20" customHeight="1">
      <c r="A30" s="106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40" t="n"/>
      <c r="B1" s="42" t="n"/>
      <c r="C1" s="107" t="inlineStr">
        <is>
          <t>Revisões</t>
        </is>
      </c>
      <c r="D1" s="44">
        <f>"Rev. "&amp;'Leia-me'!$D$15&amp;"   ·   "&amp;'Leia-me'!$D$16</f>
        <v/>
      </c>
      <c r="E1" s="42" t="n"/>
    </row>
    <row r="2" ht="28" customHeight="1">
      <c r="A2" s="45" t="n"/>
      <c r="B2" s="47" t="n"/>
      <c r="C2" s="108" t="inlineStr">
        <is>
          <t>Objetivo: Registre cada alteração do modelo; a última linha alimenta Rev. e data do cabeçalho.</t>
        </is>
      </c>
      <c r="D2" s="48">
        <f>"Elaborado: "&amp;'Leia-me'!$D$13&amp;"   ·   Aprovado: "&amp;'Leia-me'!$D$14</f>
        <v/>
      </c>
      <c r="E2" s="47" t="n"/>
    </row>
    <row r="3" ht="26" customHeight="1">
      <c r="A3" s="93" t="inlineStr">
        <is>
          <t>Rev</t>
        </is>
      </c>
      <c r="B3" s="94" t="inlineStr">
        <is>
          <t>Data</t>
        </is>
      </c>
      <c r="C3" s="94" t="inlineStr">
        <is>
          <t>Descrição da alteração</t>
        </is>
      </c>
      <c r="D3" s="94" t="inlineStr">
        <is>
          <t>Elaborado por</t>
        </is>
      </c>
      <c r="E3" s="95" t="inlineStr">
        <is>
          <t>Aprovado por</t>
        </is>
      </c>
    </row>
    <row r="4" hidden="1">
      <c r="A4" s="97" t="inlineStr">
        <is>
          <t>revisao</t>
        </is>
      </c>
      <c r="B4" s="97" t="inlineStr">
        <is>
          <t>data_revisao</t>
        </is>
      </c>
      <c r="C4" s="97" t="inlineStr">
        <is>
          <t>descricao_alteracao</t>
        </is>
      </c>
      <c r="D4" s="97" t="inlineStr">
        <is>
          <t>elaborado_por</t>
        </is>
      </c>
      <c r="E4" s="97" t="inlineStr">
        <is>
          <t>aprovado_por</t>
        </is>
      </c>
    </row>
    <row r="5" ht="22" customHeight="1">
      <c r="A5" s="109" t="inlineStr">
        <is>
          <t>00</t>
        </is>
      </c>
      <c r="B5" s="110" t="n">
        <v>46325</v>
      </c>
      <c r="C5" s="111" t="inlineStr">
        <is>
          <t>Emissão inicial</t>
        </is>
      </c>
      <c r="D5" s="99" t="n"/>
      <c r="E5" s="100" t="n"/>
    </row>
    <row r="6" ht="22" customHeight="1">
      <c r="A6" s="109" t="n"/>
      <c r="B6" s="110" t="n"/>
      <c r="C6" s="111" t="n"/>
      <c r="D6" s="99" t="n"/>
      <c r="E6" s="100" t="n"/>
    </row>
    <row r="7" ht="22" customHeight="1">
      <c r="A7" s="109" t="n"/>
      <c r="B7" s="110" t="n"/>
      <c r="C7" s="111" t="n"/>
      <c r="D7" s="99" t="n"/>
      <c r="E7" s="100" t="n"/>
    </row>
    <row r="8" ht="22" customHeight="1">
      <c r="A8" s="109" t="n"/>
      <c r="B8" s="110" t="n"/>
      <c r="C8" s="111" t="n"/>
      <c r="D8" s="99" t="n"/>
      <c r="E8" s="100" t="n"/>
    </row>
    <row r="9" ht="22" customHeight="1">
      <c r="A9" s="109" t="n"/>
      <c r="B9" s="110" t="n"/>
      <c r="C9" s="111" t="n"/>
      <c r="D9" s="99" t="n"/>
      <c r="E9" s="100" t="n"/>
    </row>
    <row r="10" ht="22" customHeight="1">
      <c r="A10" s="109" t="n"/>
      <c r="B10" s="110" t="n"/>
      <c r="C10" s="111" t="n"/>
      <c r="D10" s="99" t="n"/>
      <c r="E10" s="100" t="n"/>
    </row>
    <row r="11" ht="22" customHeight="1">
      <c r="A11" s="109" t="n"/>
      <c r="B11" s="110" t="n"/>
      <c r="C11" s="111" t="n"/>
      <c r="D11" s="99" t="n"/>
      <c r="E11" s="100" t="n"/>
    </row>
    <row r="12" ht="22" customHeight="1">
      <c r="A12" s="109" t="n"/>
      <c r="B12" s="110" t="n"/>
      <c r="C12" s="111" t="n"/>
      <c r="D12" s="99" t="n"/>
      <c r="E12" s="100" t="n"/>
    </row>
    <row r="13" ht="22" customHeight="1">
      <c r="A13" s="109" t="n"/>
      <c r="B13" s="110" t="n"/>
      <c r="C13" s="111" t="n"/>
      <c r="D13" s="99" t="n"/>
      <c r="E13" s="100" t="n"/>
    </row>
    <row r="14" ht="22" customHeight="1">
      <c r="A14" s="109" t="n"/>
      <c r="B14" s="110" t="n"/>
      <c r="C14" s="111" t="n"/>
      <c r="D14" s="99" t="n"/>
      <c r="E14" s="100" t="n"/>
    </row>
    <row r="15" ht="22" customHeight="1">
      <c r="A15" s="109" t="n"/>
      <c r="B15" s="110" t="n"/>
      <c r="C15" s="111" t="n"/>
      <c r="D15" s="99" t="n"/>
      <c r="E15" s="100" t="n"/>
    </row>
    <row r="16" ht="22" customHeight="1">
      <c r="A16" s="109" t="n"/>
      <c r="B16" s="110" t="n"/>
      <c r="C16" s="111" t="n"/>
      <c r="D16" s="99" t="n"/>
      <c r="E16" s="100" t="n"/>
    </row>
    <row r="17" ht="22" customHeight="1">
      <c r="A17" s="109" t="n"/>
      <c r="B17" s="110" t="n"/>
      <c r="C17" s="111" t="n"/>
      <c r="D17" s="99" t="n"/>
      <c r="E17" s="100" t="n"/>
    </row>
    <row r="18" ht="22" customHeight="1">
      <c r="A18" s="109" t="n"/>
      <c r="B18" s="110" t="n"/>
      <c r="C18" s="111" t="n"/>
      <c r="D18" s="99" t="n"/>
      <c r="E18" s="100" t="n"/>
    </row>
    <row r="19" ht="22" customHeight="1">
      <c r="A19" s="109" t="n"/>
      <c r="B19" s="110" t="n"/>
      <c r="C19" s="111" t="n"/>
      <c r="D19" s="99" t="n"/>
      <c r="E19" s="100" t="n"/>
    </row>
    <row r="20" ht="22" customHeight="1">
      <c r="A20" s="109" t="n"/>
      <c r="B20" s="110" t="n"/>
      <c r="C20" s="111" t="n"/>
      <c r="D20" s="99" t="n"/>
      <c r="E20" s="100" t="n"/>
    </row>
    <row r="21" ht="22" customHeight="1">
      <c r="A21" s="109" t="n"/>
      <c r="B21" s="110" t="n"/>
      <c r="C21" s="111" t="n"/>
      <c r="D21" s="99" t="n"/>
      <c r="E21" s="100" t="n"/>
    </row>
    <row r="22" ht="22" customHeight="1">
      <c r="A22" s="109" t="n"/>
      <c r="B22" s="110" t="n"/>
      <c r="C22" s="111" t="n"/>
      <c r="D22" s="99" t="n"/>
      <c r="E22" s="100" t="n"/>
    </row>
    <row r="23" ht="22" customHeight="1">
      <c r="A23" s="109" t="n"/>
      <c r="B23" s="110" t="n"/>
      <c r="C23" s="111" t="n"/>
      <c r="D23" s="99" t="n"/>
      <c r="E23" s="100" t="n"/>
    </row>
    <row r="24" ht="22" customHeight="1">
      <c r="A24" s="109" t="n"/>
      <c r="B24" s="110" t="n"/>
      <c r="C24" s="111" t="n"/>
      <c r="D24" s="99" t="n"/>
      <c r="E24" s="100" t="n"/>
    </row>
    <row r="25" ht="22" customHeight="1">
      <c r="A25" s="109" t="n"/>
      <c r="B25" s="110" t="n"/>
      <c r="C25" s="111" t="n"/>
      <c r="D25" s="99" t="n"/>
      <c r="E25" s="100" t="n"/>
    </row>
    <row r="26" ht="22" customHeight="1">
      <c r="A26" s="109" t="n"/>
      <c r="B26" s="110" t="n"/>
      <c r="C26" s="111" t="n"/>
      <c r="D26" s="99" t="n"/>
      <c r="E26" s="100" t="n"/>
    </row>
    <row r="27" ht="22" customHeight="1">
      <c r="A27" s="109" t="n"/>
      <c r="B27" s="110" t="n"/>
      <c r="C27" s="111" t="n"/>
      <c r="D27" s="99" t="n"/>
      <c r="E27" s="100" t="n"/>
    </row>
    <row r="28" ht="22" customHeight="1">
      <c r="A28" s="109" t="n"/>
      <c r="B28" s="110" t="n"/>
      <c r="C28" s="111" t="n"/>
      <c r="D28" s="99" t="n"/>
      <c r="E28" s="100" t="n"/>
    </row>
    <row r="29" ht="22" customHeight="1">
      <c r="A29" s="112" t="n"/>
      <c r="B29" s="113" t="n"/>
      <c r="C29" s="114" t="n"/>
      <c r="D29" s="103" t="n"/>
      <c r="E29" s="104" t="n"/>
    </row>
    <row r="30" ht="20" customHeight="1">
      <c r="A30" s="106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&amp;K4A5668PCM-MAN-003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2026-10-31T02:24:05Z</dcterms:created>
  <dcterms:modified xmlns:dcterms="http://purl.org/dc/terms/" xmlns:xsi="http://www.w3.org/2001/XMLSchema-instance" xsi:type="dcterms:W3CDTF">2026-10-31T02:24:06Z</dcterms:modified>
</cp:coreProperties>
</file>