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5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/comment6.xml" ContentType="application/vnd.openxmlformats-officedocument.spreadsheetml.comments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eças críticas" sheetId="2" state="visible" r:id="rId2"/>
    <sheet xmlns:r="http://schemas.openxmlformats.org/officeDocument/2006/relationships" name="Materiais" sheetId="3" state="visible" r:id="rId3"/>
    <sheet xmlns:r="http://schemas.openxmlformats.org/officeDocument/2006/relationships" name="Movimentos" sheetId="4" state="visible" r:id="rId4"/>
    <sheet xmlns:r="http://schemas.openxmlformats.org/officeDocument/2006/relationships" name="Reservas" sheetId="5" state="visible" r:id="rId5"/>
    <sheet xmlns:r="http://schemas.openxmlformats.org/officeDocument/2006/relationships" name="Cadastros" sheetId="6" state="visible" r:id="rId6"/>
    <sheet xmlns:r="http://schemas.openxmlformats.org/officeDocument/2006/relationships" name="Revisões" sheetId="7" state="visible" r:id="rId7"/>
  </sheets>
  <definedNames>
    <definedName name="L_FORNEC">tb_pcm_fornecedores[nome_fornecedor]</definedName>
    <definedName name="L_ITENS">tb_pcm_materiais[codigo_item]</definedName>
    <definedName name="L_UNIDADES">tb_pcm_unidades[unidade_medida]</definedName>
    <definedName name="L_TIPO_MOV">tb_pcm_tipos_movimento[tipo_movimento]</definedName>
    <definedName name="L_STATUS_RES">tb_pcm_status_reserva[status_reserva]</definedName>
    <definedName name="L_FAMILIAS">tb_pcm_familias[nome_familia]</definedName>
    <definedName name="_xlnm.Print_Area" localSheetId="0">'Leia-me'!$A$1:$G$33</definedName>
    <definedName name="_xlnm.Print_Titles" localSheetId="1">'Peças críticas'!$1:$3</definedName>
    <definedName name="_xlnm.Print_Area" localSheetId="1">'Peças críticas'!$A$1:$H$30</definedName>
    <definedName name="_xlnm.Print_Titles" localSheetId="2">'Materiais'!$1:$3</definedName>
    <definedName name="_xlnm.Print_Area" localSheetId="2">'Materiais'!$A$1:$D$30</definedName>
    <definedName name="_xlnm.Print_Titles" localSheetId="3">'Movimentos'!$1:$3</definedName>
    <definedName name="_xlnm.Print_Area" localSheetId="3">'Movimentos'!$A$1:$F$30</definedName>
    <definedName name="_xlnm.Print_Titles" localSheetId="4">'Reservas'!$1:$3</definedName>
    <definedName name="_xlnm.Print_Area" localSheetId="4">'Reservas'!$A$1:$E$30</definedName>
    <definedName name="_xlnm.Print_Titles" localSheetId="5">'Cadastros'!$1:$3</definedName>
    <definedName name="_xlnm.Print_Area" localSheetId="5">'Cadastros'!$A$1:$D$30</definedName>
    <definedName name="_xlnm.Print_Titles" localSheetId="6">'Revisões'!$1:$3</definedName>
    <definedName name="_xlnm.Print_Area" localSheetId="6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000"/>
    <numFmt numFmtId="166" formatCode="dd/mm/yyyy hh:mm"/>
    <numFmt numFmtId="167" formatCode="dd/mm/yyyy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"/>
      <color rgb="000E1726"/>
      <sz val="9"/>
    </font>
    <font>
      <name val="Arial Black"/>
      <color rgb="000E1726"/>
      <sz val="18"/>
    </font>
    <font>
      <name val="Arial"/>
      <color rgb="004A5668"/>
      <sz val="8"/>
    </font>
    <font>
      <name val="Arial Black"/>
      <color rgb="000E1726"/>
      <sz val="10"/>
    </font>
    <font>
      <name val="Arial Black"/>
      <color rgb="000E1726"/>
      <sz val="20"/>
    </font>
    <font>
      <name val="Arial Black"/>
      <color rgb="000B2A5B"/>
      <sz val="16"/>
    </font>
    <font>
      <name val="Arial"/>
      <b val="1"/>
      <color rgb="000E1726"/>
      <sz val="10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b val="1"/>
      <color rgb="000E1726"/>
      <sz val="9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 Black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FFFFFF"/>
      </patternFill>
    </fill>
    <fill>
      <patternFill patternType="solid">
        <fgColor rgb="00EAF1FB"/>
      </patternFill>
    </fill>
    <fill>
      <patternFill patternType="solid">
        <fgColor rgb="00ECEFF3"/>
      </patternFill>
    </fill>
    <fill>
      <patternFill patternType="solid">
        <fgColor rgb="001F5AA6"/>
      </patternFill>
    </fill>
    <fill>
      <patternFill patternType="solid">
        <fgColor rgb="00F6F8FB"/>
      </patternFill>
    </fill>
    <fill>
      <patternFill patternType="solid">
        <fgColor rgb="004A5668"/>
      </patternFill>
    </fill>
  </fills>
  <borders count="31">
    <border>
      <left/>
      <right/>
      <top/>
      <bottom/>
      <diagonal/>
    </border>
    <border>
      <left style="thin">
        <color rgb="000B2A5B"/>
      </left>
      <bottom style="thin">
        <color rgb="00D3DEEC"/>
      </bottom>
    </border>
    <border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9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right" vertical="center"/>
    </xf>
    <xf numFmtId="0" fontId="0" fillId="0" borderId="19" pivotButton="0" quotePrefix="0" xfId="0"/>
    <xf numFmtId="0" fontId="11" fillId="0" borderId="19" applyAlignment="1" pivotButton="0" quotePrefix="0" xfId="0">
      <alignment horizontal="center" vertical="top"/>
    </xf>
    <xf numFmtId="0" fontId="11" fillId="0" borderId="19" applyAlignment="1" pivotButton="0" quotePrefix="0" xfId="0">
      <alignment horizontal="right" vertical="top"/>
    </xf>
    <xf numFmtId="0" fontId="13" fillId="2" borderId="0" applyAlignment="1" pivotButton="0" quotePrefix="0" xfId="0">
      <alignment vertical="center" indent="1"/>
    </xf>
    <xf numFmtId="0" fontId="0" fillId="2" borderId="0" pivotButton="0" quotePrefix="0" xfId="0"/>
    <xf numFmtId="0" fontId="0" fillId="4" borderId="20" applyAlignment="1" pivotButton="0" quotePrefix="0" xfId="0">
      <alignment vertical="center" indent="1"/>
    </xf>
    <xf numFmtId="0" fontId="0" fillId="4" borderId="22" pivotButton="0" quotePrefix="0" xfId="0"/>
    <xf numFmtId="0" fontId="0" fillId="4" borderId="24" applyAlignment="1" pivotButton="0" quotePrefix="0" xfId="0">
      <alignment vertical="center" indent="1"/>
    </xf>
    <xf numFmtId="0" fontId="14" fillId="4" borderId="21" applyAlignment="1" pivotButton="0" quotePrefix="0" xfId="0">
      <alignment vertical="top" wrapText="1" indent="1"/>
    </xf>
    <xf numFmtId="0" fontId="0" fillId="4" borderId="23" pivotButton="0" quotePrefix="0" xfId="0"/>
    <xf numFmtId="0" fontId="14" fillId="4" borderId="25" applyAlignment="1" pivotButton="0" quotePrefix="0" xfId="0">
      <alignment vertical="top" wrapText="1" indent="1"/>
    </xf>
    <xf numFmtId="0" fontId="0" fillId="2" borderId="0" applyAlignment="1" pivotButton="0" quotePrefix="0" xfId="0">
      <alignment vertical="center" indent="1"/>
    </xf>
    <xf numFmtId="0" fontId="22" fillId="8" borderId="0" applyAlignment="1" pivotButton="0" quotePrefix="0" xfId="0">
      <alignment vertical="center" indent="1"/>
    </xf>
    <xf numFmtId="0" fontId="0" fillId="8" borderId="0" pivotButton="0" quotePrefix="0" xfId="0"/>
    <xf numFmtId="0" fontId="3" fillId="4" borderId="26" applyAlignment="1" pivotButton="0" quotePrefix="0" xfId="0">
      <alignment vertical="center" indent="1"/>
    </xf>
    <xf numFmtId="0" fontId="0" fillId="4" borderId="26" pivotButton="0" quotePrefix="0" xfId="0"/>
    <xf numFmtId="49" fontId="15" fillId="3" borderId="26" applyAlignment="1" pivotButton="0" quotePrefix="0" xfId="0">
      <alignment horizontal="left" vertical="center" wrapText="1" indent="1"/>
    </xf>
    <xf numFmtId="0" fontId="0" fillId="3" borderId="27" pivotButton="0" quotePrefix="0" xfId="0"/>
    <xf numFmtId="0" fontId="16" fillId="3" borderId="28" applyAlignment="1" pivotButton="0" quotePrefix="0" xfId="0">
      <alignment vertical="center" indent="1"/>
    </xf>
    <xf numFmtId="0" fontId="1" fillId="6" borderId="0" applyAlignment="1" pivotButton="0" quotePrefix="0" xfId="0">
      <alignment horizontal="center" vertical="center" wrapText="1"/>
    </xf>
    <xf numFmtId="0" fontId="0" fillId="3" borderId="26" pivotButton="0" quotePrefix="0" xfId="0"/>
    <xf numFmtId="0" fontId="2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 indent="1"/>
    </xf>
    <xf numFmtId="0" fontId="17" fillId="3" borderId="28" applyAlignment="1" pivotButton="0" quotePrefix="0" xfId="0">
      <alignment vertical="center" indent="1"/>
    </xf>
    <xf numFmtId="49" fontId="15" fillId="5" borderId="26" applyAlignment="1" pivotButton="0" quotePrefix="0" xfId="0">
      <alignment horizontal="left" vertical="center" wrapText="1" indent="1"/>
    </xf>
    <xf numFmtId="0" fontId="0" fillId="5" borderId="27" pivotButton="0" quotePrefix="0" xfId="0"/>
    <xf numFmtId="0" fontId="13" fillId="6" borderId="29" applyAlignment="1" pivotButton="0" quotePrefix="0" xfId="0">
      <alignment horizontal="center" vertical="center"/>
    </xf>
    <xf numFmtId="0" fontId="18" fillId="0" borderId="2" applyAlignment="1" pivotButton="0" quotePrefix="0" xfId="0">
      <alignment vertical="center" wrapText="1" indent="1"/>
    </xf>
    <xf numFmtId="0" fontId="4" fillId="0" borderId="2" applyAlignment="1" pivotButton="0" quotePrefix="0" xfId="0">
      <alignment vertical="center" wrapText="1" indent="1"/>
    </xf>
    <xf numFmtId="0" fontId="0" fillId="0" borderId="2" pivotButton="0" quotePrefix="0" xfId="0"/>
    <xf numFmtId="0" fontId="3" fillId="0" borderId="2" applyAlignment="1" pivotButton="0" quotePrefix="0" xfId="0">
      <alignment vertical="center" indent="1"/>
    </xf>
    <xf numFmtId="0" fontId="3" fillId="3" borderId="26" applyAlignment="1" pivotButton="0" quotePrefix="0" xfId="0">
      <alignment vertical="center" indent="1"/>
    </xf>
    <xf numFmtId="0" fontId="3" fillId="5" borderId="26" applyAlignment="1" pivotButton="0" quotePrefix="0" xfId="0">
      <alignment vertical="center" indent="1"/>
    </xf>
    <xf numFmtId="0" fontId="0" fillId="5" borderId="26" pivotButton="0" quotePrefix="0" xfId="0"/>
    <xf numFmtId="0" fontId="0" fillId="7" borderId="30" pivotButton="0" quotePrefix="0" xfId="0"/>
    <xf numFmtId="0" fontId="19" fillId="7" borderId="30" applyAlignment="1" pivotButton="0" quotePrefix="0" xfId="0">
      <alignment vertical="bottom" indent="1"/>
    </xf>
    <xf numFmtId="0" fontId="20" fillId="7" borderId="30" applyAlignment="1" pivotButton="0" quotePrefix="0" xfId="0">
      <alignment horizontal="right" vertical="bottom" indent="1"/>
    </xf>
    <xf numFmtId="0" fontId="0" fillId="7" borderId="0" pivotButton="0" quotePrefix="0" xfId="0"/>
    <xf numFmtId="0" fontId="21" fillId="7" borderId="0" applyAlignment="1" pivotButton="0" quotePrefix="0" xfId="0">
      <alignment vertical="top" wrapText="1" indent="1"/>
    </xf>
    <xf numFmtId="0" fontId="0" fillId="3" borderId="10" pivotButton="0" quotePrefix="0" xfId="0"/>
    <xf numFmtId="0" fontId="0" fillId="3" borderId="11" pivotButton="0" quotePrefix="0" xfId="0"/>
    <xf numFmtId="0" fontId="5" fillId="3" borderId="10" applyAlignment="1" pivotButton="0" quotePrefix="0" xfId="0">
      <alignment horizontal="center" vertical="center"/>
    </xf>
    <xf numFmtId="0" fontId="0" fillId="3" borderId="12" pivotButton="0" quotePrefix="0" xfId="0"/>
    <xf numFmtId="0" fontId="7" fillId="3" borderId="10" applyAlignment="1" pivotButton="0" quotePrefix="0" xfId="0">
      <alignment horizontal="center" vertical="center" shrinkToFit="1"/>
    </xf>
    <xf numFmtId="0" fontId="0" fillId="3" borderId="13" pivotButton="0" quotePrefix="0" xfId="0"/>
    <xf numFmtId="0" fontId="0" fillId="3" borderId="14" pivotButton="0" quotePrefix="0" xfId="0"/>
    <xf numFmtId="0" fontId="6" fillId="3" borderId="13" applyAlignment="1" pivotButton="0" quotePrefix="0" xfId="0">
      <alignment horizontal="center" vertical="center" wrapText="1"/>
    </xf>
    <xf numFmtId="0" fontId="0" fillId="3" borderId="1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0" pivotButton="0" quotePrefix="0" xfId="0"/>
    <xf numFmtId="49" fontId="3" fillId="3" borderId="4" applyAlignment="1" pivotButton="0" quotePrefix="0" xfId="0">
      <alignment horizontal="left" vertical="center" indent="1"/>
    </xf>
    <xf numFmtId="0" fontId="4" fillId="3" borderId="5" applyAlignment="1" pivotButton="0" quotePrefix="0" xfId="0">
      <alignment horizontal="left" vertical="center" wrapText="1" indent="1"/>
    </xf>
    <xf numFmtId="0" fontId="4" fillId="3" borderId="5" applyAlignment="1" pivotButton="0" quotePrefix="0" xfId="0">
      <alignment horizontal="left" vertical="center" indent="1"/>
    </xf>
    <xf numFmtId="1" fontId="4" fillId="3" borderId="5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49" fontId="3" fillId="3" borderId="7" applyAlignment="1" pivotButton="0" quotePrefix="0" xfId="0">
      <alignment horizontal="left" vertical="center" indent="1"/>
    </xf>
    <xf numFmtId="0" fontId="4" fillId="3" borderId="8" applyAlignment="1" pivotButton="0" quotePrefix="0" xfId="0">
      <alignment horizontal="left" vertical="center" wrapText="1" indent="1"/>
    </xf>
    <xf numFmtId="0" fontId="4" fillId="3" borderId="8" applyAlignment="1" pivotButton="0" quotePrefix="0" xfId="0">
      <alignment horizontal="left" vertical="center" indent="1"/>
    </xf>
    <xf numFmtId="1" fontId="4" fillId="3" borderId="8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16" pivotButton="0" quotePrefix="0" xfId="0"/>
    <xf numFmtId="0" fontId="8" fillId="3" borderId="16" applyAlignment="1" pivotButton="0" quotePrefix="0" xfId="0">
      <alignment horizontal="center" vertical="center"/>
    </xf>
    <xf numFmtId="0" fontId="0" fillId="3" borderId="17" pivotButton="0" quotePrefix="0" xfId="0"/>
    <xf numFmtId="0" fontId="6" fillId="3" borderId="17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center" vertical="center"/>
    </xf>
    <xf numFmtId="165" fontId="4" fillId="3" borderId="6" applyAlignment="1" pivotButton="0" quotePrefix="0" xfId="0">
      <alignment horizontal="right" vertical="center" indent="1"/>
    </xf>
    <xf numFmtId="49" fontId="4" fillId="3" borderId="8" applyAlignment="1" pivotButton="0" quotePrefix="0" xfId="0">
      <alignment horizontal="center" vertical="center"/>
    </xf>
    <xf numFmtId="165" fontId="4" fillId="3" borderId="9" applyAlignment="1" pivotButton="0" quotePrefix="0" xfId="0">
      <alignment horizontal="right" vertical="center" indent="1"/>
    </xf>
    <xf numFmtId="0" fontId="8" fillId="3" borderId="10" applyAlignment="1" pivotButton="0" quotePrefix="0" xfId="0">
      <alignment horizontal="center" vertical="center"/>
    </xf>
    <xf numFmtId="166" fontId="4" fillId="3" borderId="5" applyAlignment="1" pivotButton="0" quotePrefix="0" xfId="0">
      <alignment horizontal="center" vertical="center"/>
    </xf>
    <xf numFmtId="49" fontId="4" fillId="3" borderId="5" applyAlignment="1" pivotButton="0" quotePrefix="0" xfId="0">
      <alignment horizontal="left" vertical="center" indent="1"/>
    </xf>
    <xf numFmtId="165" fontId="4" fillId="3" borderId="5" applyAlignment="1" pivotButton="0" quotePrefix="0" xfId="0">
      <alignment horizontal="right" vertical="center" indent="1"/>
    </xf>
    <xf numFmtId="49" fontId="4" fillId="3" borderId="6" applyAlignment="1" pivotButton="0" quotePrefix="0" xfId="0">
      <alignment horizontal="left" vertical="center" indent="1"/>
    </xf>
    <xf numFmtId="166" fontId="4" fillId="3" borderId="8" applyAlignment="1" pivotButton="0" quotePrefix="0" xfId="0">
      <alignment horizontal="center" vertical="center"/>
    </xf>
    <xf numFmtId="49" fontId="4" fillId="3" borderId="8" applyAlignment="1" pivotButton="0" quotePrefix="0" xfId="0">
      <alignment horizontal="left" vertical="center" indent="1"/>
    </xf>
    <xf numFmtId="165" fontId="4" fillId="3" borderId="8" applyAlignment="1" pivotButton="0" quotePrefix="0" xfId="0">
      <alignment horizontal="right" vertical="center" indent="1"/>
    </xf>
    <xf numFmtId="49" fontId="4" fillId="3" borderId="9" applyAlignment="1" pivotButton="0" quotePrefix="0" xfId="0">
      <alignment horizontal="left" vertical="center" indent="1"/>
    </xf>
    <xf numFmtId="49" fontId="4" fillId="3" borderId="6" applyAlignment="1" pivotButton="0" quotePrefix="0" xfId="0">
      <alignment horizontal="center" vertical="center"/>
    </xf>
    <xf numFmtId="49" fontId="4" fillId="3" borderId="9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 shrinkToFit="1"/>
    </xf>
    <xf numFmtId="0" fontId="1" fillId="2" borderId="18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left" vertical="center" indent="1"/>
    </xf>
    <xf numFmtId="0" fontId="3" fillId="3" borderId="17" applyAlignment="1" pivotButton="0" quotePrefix="0" xfId="0">
      <alignment horizontal="left" vertical="center" indent="1"/>
    </xf>
    <xf numFmtId="49" fontId="3" fillId="3" borderId="4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left" vertical="center" indent="1"/>
    </xf>
    <xf numFmtId="49" fontId="3" fillId="3" borderId="7" applyAlignment="1" pivotButton="0" quotePrefix="0" xfId="0">
      <alignment horizontal="center" vertical="center"/>
    </xf>
    <xf numFmtId="167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left" vertical="center" indent="1"/>
    </xf>
  </cellXfs>
  <cellStyles count="1">
    <cellStyle name="Normal" xfId="0" builtinId="0" hidden="0"/>
  </cellStyles>
  <dxfs count="4"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Código. Digite como texto (preserva zeros à esquerda). Exemplo: 00123.</t>
      </text>
    </comment>
    <comment ref="B3" authorId="0" shapeId="0">
      <text>
        <t>Descrição.</t>
      </text>
    </comment>
    <comment ref="C3" authorId="0" shapeId="0">
      <text>
        <t>Família de equipamento aplicado. Escolha na lista (preencha antes a aba Cadastros).</t>
      </text>
    </comment>
    <comment ref="D3" authorId="0" shapeId="0">
      <text>
        <t>Endereço.</t>
      </text>
    </comment>
    <comment ref="E3" authorId="0" shapeId="0">
      <text>
        <t>Fornecedor. Escolha na lista (preencha antes a aba Cadastros).</t>
      </text>
    </comment>
    <comment ref="F3" authorId="0" shapeId="0">
      <text>
        <t>Lead time (dias). Número inteiro maior ou igual a 0. Exemplo: 1.</t>
      </text>
    </comment>
    <comment ref="G3" authorId="0" shapeId="0">
      <text>
        <t>Estoque mínimo. Número com vírgula (1h30 = 1,5). Vazio = sem informação; zero é valor real.</t>
      </text>
    </comment>
    <comment ref="H3" authorId="0" shapeId="0">
      <text>
        <t>Estoque atual. Número com vírgula (1h30 = 1,5). Vazio = sem informação; zero é valor real.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Código do item. Digite como texto (preserva zeros à esquerda). Exemplo: 00123.</t>
      </text>
    </comment>
    <comment ref="B3" authorId="0" shapeId="0">
      <text>
        <t>Material.</t>
      </text>
    </comment>
    <comment ref="C3" authorId="0" shapeId="0">
      <text>
        <t>Unidade. Escolha na lista: UN, PC, KG, L, M.</t>
      </text>
    </comment>
    <comment ref="D3" authorId="0" shapeId="0">
      <text>
        <t>Estoque mínimo. Número com vírgula (1h30 = 1,5). Vazio = sem informação; zero é valor real.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Referência do movimento. Digite como texto (preserva zeros à esquerda). Exemplo: 00123.</t>
      </text>
    </comment>
    <comment ref="B3" authorId="0" shapeId="0">
      <text>
        <t>Data e hora. Data no formato dd/mm/aaaa. Exemplo: 30/10/2026.</t>
      </text>
    </comment>
    <comment ref="C3" authorId="0" shapeId="0">
      <text>
        <t>Código do item. Escolha na lista (preencha antes a aba Cadastros).</t>
      </text>
    </comment>
    <comment ref="D3" authorId="0" shapeId="0">
      <text>
        <t>Tipo. Escolha na lista: SALDO_INICIAL, ENTRADA, SAIDA, DEVOLUCAO.</t>
      </text>
    </comment>
    <comment ref="E3" authorId="0" shapeId="0">
      <text>
        <t>Quantidade. Número com vírgula (1h30 = 1,5). Vazio = sem informação; zero é valor real.</t>
      </text>
    </comment>
    <comment ref="F3" authorId="0" shapeId="0">
      <text>
        <t>Nº da OS. Digite como texto (preserva zeros à esquerda). Exemplo: 00123.</t>
      </text>
    </comment>
  </commentList>
</comments>
</file>

<file path=xl/comments/comment4.xml><?xml version="1.0" encoding="utf-8"?>
<comments xmlns="http://schemas.openxmlformats.org/spreadsheetml/2006/main">
  <authors>
    <author>PCM Direto</author>
  </authors>
  <commentList>
    <comment ref="A3" authorId="0" shapeId="0">
      <text>
        <t>Referência da reserva. Digite como texto (preserva zeros à esquerda). Exemplo: 00123.</t>
      </text>
    </comment>
    <comment ref="B3" authorId="0" shapeId="0">
      <text>
        <t>Código do item. Escolha na lista (preencha antes a aba Cadastros).</t>
      </text>
    </comment>
    <comment ref="C3" authorId="0" shapeId="0">
      <text>
        <t>Nº da OS. Digite como texto (preserva zeros à esquerda). Exemplo: 00123.</t>
      </text>
    </comment>
    <comment ref="D3" authorId="0" shapeId="0">
      <text>
        <t>Quantidade reservada. Número com vírgula (1h30 = 1,5). Vazio = sem informação; zero é valor real.</t>
      </text>
    </comment>
    <comment ref="E3" authorId="0" shapeId="0">
      <text>
        <t>Situação. Escolha na lista: ATIVA, ATENDIDA, CANCELADA.</t>
      </text>
    </comment>
  </commentList>
</comments>
</file>

<file path=xl/comments/comment5.xml><?xml version="1.0" encoding="utf-8"?>
<comments xmlns="http://schemas.openxmlformats.org/spreadsheetml/2006/main">
  <authors>
    <author>PCM Direto</author>
  </authors>
  <commentList>
    <comment ref="A3" authorId="0" shapeId="0">
      <text>
        <t>Família de equipamento.</t>
      </text>
    </comment>
    <comment ref="C3" authorId="0" shapeId="0">
      <text>
        <t>Fornecedor.</t>
      </text>
    </comment>
  </commentList>
</comments>
</file>

<file path=xl/comments/comment6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828675</colOff>
      <row>0</row>
      <rowOff>57150</rowOff>
    </from>
    <ext cx="22098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628650</colOff>
      <row>0</row>
      <rowOff>57150</rowOff>
    </from>
    <ext cx="22098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314325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971550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unidades" displayName="tb_pcm_unidades" ref="I11:J16" headerRowCount="1">
  <autoFilter ref="I11:J16"/>
  <tableColumns count="2">
    <tableColumn id="9" name="unidade_medida"/>
    <tableColumn id="10" name="rotulo_unidade"/>
  </tableColumns>
  <tableStyleInfo name="TableStyleLight1" showRowStripes="0"/>
</table>
</file>

<file path=xl/tables/table2.xml><?xml version="1.0" encoding="utf-8"?>
<table xmlns="http://schemas.openxmlformats.org/spreadsheetml/2006/main" id="2" name="tb_pcm_tipos_movimento" displayName="tb_pcm_tipos_movimento" ref="L11:M15" headerRowCount="1">
  <autoFilter ref="L11:M15"/>
  <tableColumns count="2">
    <tableColumn id="12" name="tipo_movimento"/>
    <tableColumn id="13" name="rotulo_tipo"/>
  </tableColumns>
  <tableStyleInfo name="TableStyleLight1" showRowStripes="0"/>
</table>
</file>

<file path=xl/tables/table3.xml><?xml version="1.0" encoding="utf-8"?>
<table xmlns="http://schemas.openxmlformats.org/spreadsheetml/2006/main" id="3" name="tb_pcm_status_reserva" displayName="tb_pcm_status_reserva" ref="O11:P14" headerRowCount="1">
  <autoFilter ref="O11:P14"/>
  <tableColumns count="2">
    <tableColumn id="15" name="status_reserva"/>
    <tableColumn id="16" name="rotulo_reserva"/>
  </tableColumns>
  <tableStyleInfo name="TableStyleLight1" showRowStripes="0"/>
</table>
</file>

<file path=xl/tables/table4.xml><?xml version="1.0" encoding="utf-8"?>
<table xmlns="http://schemas.openxmlformats.org/spreadsheetml/2006/main" id="4" name="tb_pcm_pecas_criticas" displayName="tb_pcm_pecas_criticas" ref="A4:H29" headerRowCount="1">
  <autoFilter ref="A4:H29"/>
  <tableColumns count="8">
    <tableColumn id="1" name="codigo_peca"/>
    <tableColumn id="2" name="descricao_peca"/>
    <tableColumn id="3" name="familia"/>
    <tableColumn id="4" name="endereco"/>
    <tableColumn id="5" name="fornecedor"/>
    <tableColumn id="6" name="lead_time_dias"/>
    <tableColumn id="7" name="estoque_minimo"/>
    <tableColumn id="8" name="estoque_atual"/>
  </tableColumns>
  <tableStyleInfo name="TableStyleLight1" showRowStripes="0"/>
</table>
</file>

<file path=xl/tables/table5.xml><?xml version="1.0" encoding="utf-8"?>
<table xmlns="http://schemas.openxmlformats.org/spreadsheetml/2006/main" id="5" name="tb_pcm_materiais" displayName="tb_pcm_materiais" ref="A4:D29" headerRowCount="1">
  <autoFilter ref="A4:D29"/>
  <tableColumns count="4">
    <tableColumn id="1" name="codigo_item"/>
    <tableColumn id="2" name="descricao_item"/>
    <tableColumn id="3" name="unidade_medida"/>
    <tableColumn id="4" name="estoque_minimo"/>
  </tableColumns>
  <tableStyleInfo name="TableStyleLight1" showRowStripes="0"/>
</table>
</file>

<file path=xl/tables/table6.xml><?xml version="1.0" encoding="utf-8"?>
<table xmlns="http://schemas.openxmlformats.org/spreadsheetml/2006/main" id="6" name="tb_pcm_movimentos" displayName="tb_pcm_movimentos" ref="A4:F29" headerRowCount="1">
  <autoFilter ref="A4:F29"/>
  <tableColumns count="6">
    <tableColumn id="1" name="referencia_movimento"/>
    <tableColumn id="2" name="data_movimento"/>
    <tableColumn id="3" name="codigo_item"/>
    <tableColumn id="4" name="tipo_movimento"/>
    <tableColumn id="5" name="quantidade"/>
    <tableColumn id="6" name="numero_os"/>
  </tableColumns>
  <tableStyleInfo name="TableStyleLight1" showRowStripes="0"/>
</table>
</file>

<file path=xl/tables/table7.xml><?xml version="1.0" encoding="utf-8"?>
<table xmlns="http://schemas.openxmlformats.org/spreadsheetml/2006/main" id="7" name="tb_pcm_reservas" displayName="tb_pcm_reservas" ref="A4:E29" headerRowCount="1">
  <autoFilter ref="A4:E29"/>
  <tableColumns count="5">
    <tableColumn id="1" name="referencia_reserva"/>
    <tableColumn id="2" name="codigo_item"/>
    <tableColumn id="3" name="numero_os"/>
    <tableColumn id="4" name="quantidade_reservada"/>
    <tableColumn id="5" name="status_reserva"/>
  </tableColumns>
  <tableStyleInfo name="TableStyleLight1" showRowStripes="0"/>
</table>
</file>

<file path=xl/tables/table8.xml><?xml version="1.0" encoding="utf-8"?>
<table xmlns="http://schemas.openxmlformats.org/spreadsheetml/2006/main" id="8" name="tb_pcm_familias" displayName="tb_pcm_familias" ref="A4:A29" headerRowCount="1">
  <autoFilter ref="A4:A29"/>
  <tableColumns count="1">
    <tableColumn id="1" name="nome_familia"/>
  </tableColumns>
  <tableStyleInfo name="TableStyleLight1" showRowStripes="0"/>
</table>
</file>

<file path=xl/tables/table9.xml><?xml version="1.0" encoding="utf-8"?>
<table xmlns="http://schemas.openxmlformats.org/spreadsheetml/2006/main" id="9" name="tb_pcm_fornecedores" displayName="tb_pcm_fornecedores" ref="C4:C29" headerRowCount="1">
  <autoFilter ref="C4:C29"/>
  <tableColumns count="1">
    <tableColumn id="3" name="nome_fornecedor"/>
  </tableColumns>
  <tableStyleInfo name="TableStyleLight1" showRowStripes="0"/>
</table>
</file>

<file path=xl/tables/table10.xml><?xml version="1.0" encoding="utf-8"?>
<table xmlns="http://schemas.openxmlformats.org/spreadsheetml/2006/main" id="10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Relationship Type="http://schemas.openxmlformats.org/officeDocument/2006/relationships/table" Target="/xl/tables/table1.xml" Id="rId4"/><Relationship Type="http://schemas.openxmlformats.org/officeDocument/2006/relationships/table" Target="/xl/tables/table2.xml" Id="rId5"/><Relationship Type="http://schemas.openxmlformats.org/officeDocument/2006/relationships/table" Target="/xl/tables/table3.xml" Id="rId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7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10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P33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  <col width="16" customWidth="1" min="9" max="9"/>
    <col width="20" customWidth="1" min="10" max="10"/>
    <col width="2" customWidth="1" min="11" max="11"/>
    <col width="16" customWidth="1" min="12" max="12"/>
    <col width="20" customWidth="1" min="13" max="13"/>
    <col width="2" customWidth="1" min="14" max="14"/>
    <col width="16" customWidth="1" min="15" max="15"/>
    <col width="20" customWidth="1" min="16" max="16"/>
    <col width="2" customWidth="1" min="17" max="1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PCM-MAN-010  ·  Estoque e peças críticas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Peças críticas.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  <c r="I9" s="17" t="inlineStr">
        <is>
          <t>LISTAS DAS SETAS ▼  ·  valores fixos, não altere</t>
        </is>
      </c>
      <c r="J9" s="18" t="n"/>
      <c r="K9" s="18" t="n"/>
      <c r="L9" s="18" t="n"/>
      <c r="M9" s="18" t="n"/>
      <c r="N9" s="18" t="n"/>
      <c r="O9" s="18" t="n"/>
      <c r="P9" s="18" t="n"/>
    </row>
    <row r="10" ht="21" customHeight="1">
      <c r="B10" s="19" t="inlineStr">
        <is>
          <t>Título do documento</t>
        </is>
      </c>
      <c r="C10" s="20" t="n"/>
      <c r="D10" s="21" t="inlineStr">
        <is>
          <t>Estoque e peças críticas</t>
        </is>
      </c>
      <c r="E10" s="22" t="n"/>
      <c r="F10" s="23" t="inlineStr">
        <is>
          <t>Já vem pronto. Ajuste se quiser.</t>
        </is>
      </c>
      <c r="I10" s="24" t="inlineStr">
        <is>
          <t>Unidade medida</t>
        </is>
      </c>
      <c r="J10" s="24" t="inlineStr">
        <is>
          <t>Significado</t>
        </is>
      </c>
      <c r="L10" s="24" t="inlineStr">
        <is>
          <t>Tipo movimento</t>
        </is>
      </c>
      <c r="M10" s="24" t="inlineStr">
        <is>
          <t>Significado</t>
        </is>
      </c>
      <c r="O10" s="24" t="inlineStr">
        <is>
          <t>Status reserva</t>
        </is>
      </c>
      <c r="P10" s="24" t="inlineStr">
        <is>
          <t>Significado</t>
        </is>
      </c>
    </row>
    <row r="11" ht="33" customHeight="1">
      <c r="B11" s="19" t="inlineStr">
        <is>
          <t>Objetivo</t>
        </is>
      </c>
      <c r="C11" s="20" t="n"/>
      <c r="D11" s="21" t="inlineStr">
        <is>
          <t>Controlar peças críticas, materiais, movimentos e reservas do almoxarifado</t>
        </is>
      </c>
      <c r="E11" s="25" t="n"/>
      <c r="F11" s="25" t="n"/>
      <c r="I11" s="26" t="inlineStr">
        <is>
          <t>unidade_medida</t>
        </is>
      </c>
      <c r="J11" s="26" t="inlineStr">
        <is>
          <t>rotulo_unidade</t>
        </is>
      </c>
      <c r="L11" s="26" t="inlineStr">
        <is>
          <t>tipo_movimento</t>
        </is>
      </c>
      <c r="M11" s="26" t="inlineStr">
        <is>
          <t>rotulo_tipo</t>
        </is>
      </c>
      <c r="O11" s="26" t="inlineStr">
        <is>
          <t>status_reserva</t>
        </is>
      </c>
      <c r="P11" s="26" t="inlineStr">
        <is>
          <t>rotulo_reserva</t>
        </is>
      </c>
    </row>
    <row r="12" ht="21" customHeight="1">
      <c r="B12" s="19" t="inlineStr">
        <is>
          <t>Código do documento</t>
        </is>
      </c>
      <c r="C12" s="20" t="n"/>
      <c r="D12" s="21" t="inlineStr">
        <is>
          <t>PCM-MAN-010</t>
        </is>
      </c>
      <c r="E12" s="25" t="n"/>
      <c r="F12" s="25" t="n"/>
      <c r="I12" s="27" t="inlineStr">
        <is>
          <t>UN</t>
        </is>
      </c>
      <c r="J12" s="27" t="inlineStr">
        <is>
          <t>Unidade</t>
        </is>
      </c>
      <c r="L12" s="27" t="inlineStr">
        <is>
          <t>SALDO_INICIAL</t>
        </is>
      </c>
      <c r="M12" s="27" t="inlineStr">
        <is>
          <t>Saldo inicial</t>
        </is>
      </c>
      <c r="O12" s="27" t="inlineStr">
        <is>
          <t>ATIVA</t>
        </is>
      </c>
      <c r="P12" s="27" t="inlineStr">
        <is>
          <t>Ativa (reduz o disponível)</t>
        </is>
      </c>
    </row>
    <row r="13" ht="21" customHeight="1">
      <c r="B13" s="19" t="inlineStr">
        <is>
          <t>Elaborado por</t>
        </is>
      </c>
      <c r="C13" s="20" t="n"/>
      <c r="D13" s="21" t="n"/>
      <c r="E13" s="22" t="n"/>
      <c r="F13" s="28" t="inlineStr">
        <is>
          <t>✎ preencha</t>
        </is>
      </c>
      <c r="I13" s="27" t="inlineStr">
        <is>
          <t>PC</t>
        </is>
      </c>
      <c r="J13" s="27" t="inlineStr">
        <is>
          <t>Peça</t>
        </is>
      </c>
      <c r="L13" s="27" t="inlineStr">
        <is>
          <t>ENTRADA</t>
        </is>
      </c>
      <c r="M13" s="27" t="inlineStr">
        <is>
          <t>Entrada</t>
        </is>
      </c>
      <c r="O13" s="27" t="inlineStr">
        <is>
          <t>ATENDIDA</t>
        </is>
      </c>
      <c r="P13" s="27" t="inlineStr">
        <is>
          <t>Atendida</t>
        </is>
      </c>
    </row>
    <row r="14" ht="21" customHeight="1">
      <c r="B14" s="19" t="inlineStr">
        <is>
          <t>Aprovado por</t>
        </is>
      </c>
      <c r="C14" s="20" t="n"/>
      <c r="D14" s="21" t="n"/>
      <c r="E14" s="22" t="n"/>
      <c r="F14" s="28" t="inlineStr">
        <is>
          <t>✎ preencha</t>
        </is>
      </c>
      <c r="I14" s="27" t="inlineStr">
        <is>
          <t>KG</t>
        </is>
      </c>
      <c r="J14" s="27" t="inlineStr">
        <is>
          <t>Quilograma</t>
        </is>
      </c>
      <c r="L14" s="27" t="inlineStr">
        <is>
          <t>SAIDA</t>
        </is>
      </c>
      <c r="M14" s="27" t="inlineStr">
        <is>
          <t>Saída</t>
        </is>
      </c>
      <c r="O14" s="27" t="inlineStr">
        <is>
          <t>CANCELADA</t>
        </is>
      </c>
      <c r="P14" s="27" t="inlineStr">
        <is>
          <t>Cancelada</t>
        </is>
      </c>
    </row>
    <row r="15" ht="21" customHeight="1">
      <c r="B15" s="19" t="inlineStr">
        <is>
          <t>Revisão atual</t>
        </is>
      </c>
      <c r="C15" s="20" t="n"/>
      <c r="D15" s="29">
        <f>IF(COUNTA(tb_pcm_revisoes_modelo[revisao])=0,"-",INDEX(tb_pcm_revisoes_modelo[revisao],COUNTA(tb_pcm_revisoes_modelo[revisao])))</f>
        <v/>
      </c>
      <c r="E15" s="30" t="n"/>
      <c r="F15" s="23" t="inlineStr">
        <is>
          <t>automático: aba Revisões</t>
        </is>
      </c>
      <c r="I15" s="27" t="inlineStr">
        <is>
          <t>L</t>
        </is>
      </c>
      <c r="J15" s="27" t="inlineStr">
        <is>
          <t>Litro</t>
        </is>
      </c>
      <c r="L15" s="27" t="inlineStr">
        <is>
          <t>DEVOLUCAO</t>
        </is>
      </c>
      <c r="M15" s="27" t="inlineStr">
        <is>
          <t>Devolução</t>
        </is>
      </c>
    </row>
    <row r="16" ht="21" customHeight="1">
      <c r="B16" s="19" t="inlineStr">
        <is>
          <t>Data da revisão</t>
        </is>
      </c>
      <c r="C16" s="20" t="n"/>
      <c r="D16" s="29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30" t="n"/>
      <c r="F16" s="23" t="inlineStr">
        <is>
          <t>automático: aba Revisões</t>
        </is>
      </c>
      <c r="I16" s="27" t="inlineStr">
        <is>
          <t>M</t>
        </is>
      </c>
      <c r="J16" s="27" t="inlineStr">
        <is>
          <t>Metro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31" t="n">
        <v>1</v>
      </c>
      <c r="C19" s="32" t="inlineStr">
        <is>
          <t>Cadastros</t>
        </is>
      </c>
      <c r="D19" s="33" t="inlineStr">
        <is>
          <t>Cadastre uma vez as famílias de equipamento, os fornecedores. Eles aparecem nas setas ▼ das outras abas.</t>
        </is>
      </c>
      <c r="E19" s="34" t="n"/>
      <c r="F19" s="34" t="n"/>
    </row>
    <row r="20" ht="34" customHeight="1">
      <c r="B20" s="31" t="n">
        <v>2</v>
      </c>
      <c r="C20" s="32" t="inlineStr">
        <is>
          <t>Peças críticas</t>
        </is>
      </c>
      <c r="D20" s="33" t="inlineStr">
        <is>
          <t>Uma linha por peça: código, descrição, família de equipamento, endereço, fornecedor, lead time e estoques. Estoque atual abaixo do mínimo fica vermelho.</t>
        </is>
      </c>
      <c r="E20" s="34" t="n"/>
      <c r="F20" s="34" t="n"/>
    </row>
    <row r="21" ht="22" customHeight="1">
      <c r="B21" s="31" t="n">
        <v>3</v>
      </c>
      <c r="C21" s="32" t="inlineStr">
        <is>
          <t>Materiais</t>
        </is>
      </c>
      <c r="D21" s="33" t="inlineStr">
        <is>
          <t>Cadastre cada item uma vez: código, descrição, unidade e estoque mínimo.</t>
        </is>
      </c>
      <c r="E21" s="34" t="n"/>
      <c r="F21" s="34" t="n"/>
    </row>
    <row r="22" ht="22" customHeight="1">
      <c r="B22" s="31" t="n">
        <v>4</v>
      </c>
      <c r="C22" s="32" t="inlineStr">
        <is>
          <t>Movimentos</t>
        </is>
      </c>
      <c r="D22" s="33" t="inlineStr">
        <is>
          <t>Cada entrada ou saída em uma linha, com o Nº da OS quando houver.</t>
        </is>
      </c>
      <c r="E22" s="34" t="n"/>
      <c r="F22" s="34" t="n"/>
    </row>
    <row r="23" ht="22" customHeight="1">
      <c r="B23" s="31" t="n">
        <v>5</v>
      </c>
      <c r="C23" s="32" t="inlineStr">
        <is>
          <t>Reservas</t>
        </is>
      </c>
      <c r="D23" s="33" t="inlineStr">
        <is>
          <t>Reserve o material das OS programadas e atualize a situação quando retirar.</t>
        </is>
      </c>
      <c r="E23" s="34" t="n"/>
      <c r="F23" s="34" t="n"/>
    </row>
    <row r="24" ht="10" customHeight="1"/>
    <row r="25" ht="24" customHeight="1">
      <c r="B25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5" s="9" t="n"/>
      <c r="D25" s="9" t="n"/>
      <c r="E25" s="9" t="n"/>
      <c r="F25" s="9" t="n"/>
    </row>
    <row r="26" ht="21" customHeight="1">
      <c r="B26" s="35" t="inlineStr">
        <is>
          <t>▼  Lista</t>
        </is>
      </c>
      <c r="C26" s="34" t="n"/>
      <c r="D26" s="33" t="inlineStr">
        <is>
          <t>Clique na célula e escolha na seta. Valor fora da lista é recusado.</t>
        </is>
      </c>
      <c r="E26" s="34" t="n"/>
      <c r="F26" s="34" t="n"/>
    </row>
    <row r="27" ht="21" customHeight="1">
      <c r="B27" s="36" t="inlineStr">
        <is>
          <t>Célula branca</t>
        </is>
      </c>
      <c r="C27" s="25" t="n"/>
      <c r="D27" s="33" t="inlineStr">
        <is>
          <t>Campo para digitar.</t>
        </is>
      </c>
      <c r="E27" s="34" t="n"/>
      <c r="F27" s="34" t="n"/>
    </row>
    <row r="28" ht="21" customHeight="1">
      <c r="B28" s="37" t="inlineStr">
        <is>
          <t>Célula cinza</t>
        </is>
      </c>
      <c r="C28" s="38" t="n"/>
      <c r="D28" s="33" t="inlineStr">
        <is>
          <t>Cálculo automático. Não digite: a fórmula preenche sozinha.</t>
        </is>
      </c>
      <c r="E28" s="34" t="n"/>
      <c r="F28" s="34" t="n"/>
    </row>
    <row r="29" ht="21" customHeight="1">
      <c r="B29" s="35" t="inlineStr">
        <is>
          <t>Datas e números</t>
        </is>
      </c>
      <c r="C29" s="34" t="n"/>
      <c r="D29" s="33" t="inlineStr">
        <is>
          <t>Datas em dd/mm/aaaa; decimais com vírgula. Vazio = sem informação; zero é valor real.</t>
        </is>
      </c>
      <c r="E29" s="34" t="n"/>
      <c r="F29" s="34" t="n"/>
    </row>
    <row r="30" ht="21" customHeight="1">
      <c r="B30" s="35" t="inlineStr">
        <is>
          <t>Impressão</t>
        </is>
      </c>
      <c r="C30" s="34" t="n"/>
      <c r="D30" s="33" t="inlineStr">
        <is>
          <t>Cada aba já está ajustada para uma folha A4. Use Arquivo &gt; Imprimir sem mudar a escala.</t>
        </is>
      </c>
      <c r="E30" s="34" t="n"/>
      <c r="F30" s="34" t="n"/>
    </row>
    <row r="31" ht="12" customHeight="1"/>
    <row r="32" ht="22" customHeight="1">
      <c r="B32" s="39" t="n"/>
      <c r="C32" s="39" t="n"/>
      <c r="D32" s="40" t="inlineStr">
        <is>
          <t>SOBRE O PCM DIRETO</t>
        </is>
      </c>
      <c r="E32" s="39" t="n"/>
      <c r="F32" s="41" t="inlineStr">
        <is>
          <t>pcmdireto.me</t>
        </is>
      </c>
    </row>
    <row r="33" ht="34" customHeight="1">
      <c r="B33" s="42" t="n"/>
      <c r="C33" s="42" t="n"/>
      <c r="D33" s="43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3" s="42" t="n"/>
      <c r="F33" s="42" t="n"/>
    </row>
  </sheetData>
  <mergeCells count="43">
    <mergeCell ref="D11:F11"/>
    <mergeCell ref="B16:C16"/>
    <mergeCell ref="D10:E10"/>
    <mergeCell ref="B7:C7"/>
    <mergeCell ref="D27:F27"/>
    <mergeCell ref="D1:E1"/>
    <mergeCell ref="B25:F25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D32:E32"/>
    <mergeCell ref="B32:C33"/>
    <mergeCell ref="D30:F30"/>
    <mergeCell ref="D33:F33"/>
    <mergeCell ref="B1:C3"/>
    <mergeCell ref="B13:C13"/>
    <mergeCell ref="D16:E16"/>
    <mergeCell ref="D29:F29"/>
    <mergeCell ref="B29:C29"/>
    <mergeCell ref="D23:F23"/>
    <mergeCell ref="B10:C10"/>
    <mergeCell ref="B28:C28"/>
    <mergeCell ref="D26:F26"/>
    <mergeCell ref="D3:E3"/>
    <mergeCell ref="D20:F20"/>
    <mergeCell ref="B9:F9"/>
    <mergeCell ref="B6:C6"/>
    <mergeCell ref="D19:F19"/>
    <mergeCell ref="B30:C30"/>
    <mergeCell ref="B15:C15"/>
    <mergeCell ref="D15:E15"/>
    <mergeCell ref="D22:F22"/>
    <mergeCell ref="B5:F5"/>
    <mergeCell ref="D14:E14"/>
    <mergeCell ref="B26:C26"/>
    <mergeCell ref="D21:F21"/>
    <mergeCell ref="I9:P9"/>
  </mergeCells>
  <hyperlinks>
    <hyperlink xmlns:r="http://schemas.openxmlformats.org/officeDocument/2006/relationships" ref="F2" r:id="rId1"/>
    <hyperlink ref="C19" location="'Cadastros'!A1" display="Cadastros"/>
    <hyperlink ref="C20" location="'Peças críticas'!A1" display="Peças críticas"/>
    <hyperlink ref="C21" location="'Materiais'!A1" display="Materiais"/>
    <hyperlink ref="C22" location="'Movimentos'!A1" display="Movimentos"/>
    <hyperlink ref="C23" location="'Reservas'!A1" display="Reservas"/>
    <hyperlink xmlns:r="http://schemas.openxmlformats.org/officeDocument/2006/relationships" ref="F32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  <tableParts count="3"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H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9" customWidth="1" min="1" max="1"/>
    <col width="42" customWidth="1" min="2" max="2"/>
    <col width="27.3" customWidth="1" min="3" max="3"/>
    <col width="16.1" customWidth="1" min="4" max="4"/>
    <col width="27.3" customWidth="1" min="5" max="5"/>
    <col width="12.4" customWidth="1" min="6" max="6"/>
    <col width="12.4" customWidth="1" min="7" max="7"/>
    <col width="12.4" customWidth="1" min="8" max="8"/>
  </cols>
  <sheetData>
    <row r="1" ht="30.75" customHeight="1">
      <c r="A1" s="44" t="n"/>
      <c r="B1" s="45" t="n"/>
      <c r="C1" s="46">
        <f>'Leia-me'!$D$10</f>
        <v/>
      </c>
      <c r="D1" s="47" t="n"/>
      <c r="E1" s="45" t="n"/>
      <c r="F1" s="48">
        <f>"Rev. "&amp;'Leia-me'!$D$15&amp;"   ·   "&amp;'Leia-me'!$D$16</f>
        <v/>
      </c>
      <c r="G1" s="47" t="n"/>
      <c r="H1" s="45" t="n"/>
    </row>
    <row r="2" ht="31" customHeight="1">
      <c r="A2" s="49" t="n"/>
      <c r="B2" s="50" t="n"/>
      <c r="C2" s="51">
        <f>"Objetivo: "&amp;'Leia-me'!$D$11</f>
        <v/>
      </c>
      <c r="D2" s="52" t="n"/>
      <c r="E2" s="50" t="n"/>
      <c r="F2" s="51">
        <f>"Elaborado: "&amp;'Leia-me'!$D$13&amp;"   ·   Aprovado: "&amp;'Leia-me'!$D$14</f>
        <v/>
      </c>
      <c r="G2" s="52" t="n"/>
      <c r="H2" s="50" t="n"/>
    </row>
    <row r="3" ht="32" customHeight="1">
      <c r="A3" s="53" t="inlineStr">
        <is>
          <t>Código</t>
        </is>
      </c>
      <c r="B3" s="54" t="inlineStr">
        <is>
          <t>Descrição</t>
        </is>
      </c>
      <c r="C3" s="54" t="inlineStr">
        <is>
          <t>Família de equipamento aplicado ▼</t>
        </is>
      </c>
      <c r="D3" s="54" t="inlineStr">
        <is>
          <t>Endereço</t>
        </is>
      </c>
      <c r="E3" s="54" t="inlineStr">
        <is>
          <t>Fornecedor ▼</t>
        </is>
      </c>
      <c r="F3" s="54" t="inlineStr">
        <is>
          <t>Lead time (dias)</t>
        </is>
      </c>
      <c r="G3" s="54" t="inlineStr">
        <is>
          <t>Estoque mínimo</t>
        </is>
      </c>
      <c r="H3" s="55" t="inlineStr">
        <is>
          <t>Estoque atual</t>
        </is>
      </c>
    </row>
    <row r="4" hidden="1">
      <c r="A4" s="56" t="inlineStr">
        <is>
          <t>codigo_peca</t>
        </is>
      </c>
      <c r="B4" s="56" t="inlineStr">
        <is>
          <t>descricao_peca</t>
        </is>
      </c>
      <c r="C4" s="56" t="inlineStr">
        <is>
          <t>familia</t>
        </is>
      </c>
      <c r="D4" s="56" t="inlineStr">
        <is>
          <t>endereco</t>
        </is>
      </c>
      <c r="E4" s="56" t="inlineStr">
        <is>
          <t>fornecedor</t>
        </is>
      </c>
      <c r="F4" s="56" t="inlineStr">
        <is>
          <t>lead_time_dias</t>
        </is>
      </c>
      <c r="G4" s="56" t="inlineStr">
        <is>
          <t>estoque_minimo</t>
        </is>
      </c>
      <c r="H4" s="56" t="inlineStr">
        <is>
          <t>estoque_atual</t>
        </is>
      </c>
    </row>
    <row r="5" ht="22" customHeight="1">
      <c r="A5" s="57" t="n"/>
      <c r="B5" s="58" t="n"/>
      <c r="C5" s="59" t="n"/>
      <c r="D5" s="59" t="n"/>
      <c r="E5" s="59" t="n"/>
      <c r="F5" s="60" t="n"/>
      <c r="G5" s="61" t="n"/>
      <c r="H5" s="62" t="n"/>
    </row>
    <row r="6" ht="22" customHeight="1">
      <c r="A6" s="57" t="n"/>
      <c r="B6" s="58" t="n"/>
      <c r="C6" s="59" t="n"/>
      <c r="D6" s="59" t="n"/>
      <c r="E6" s="59" t="n"/>
      <c r="F6" s="60" t="n"/>
      <c r="G6" s="61" t="n"/>
      <c r="H6" s="62" t="n"/>
    </row>
    <row r="7" ht="22" customHeight="1">
      <c r="A7" s="57" t="n"/>
      <c r="B7" s="58" t="n"/>
      <c r="C7" s="59" t="n"/>
      <c r="D7" s="59" t="n"/>
      <c r="E7" s="59" t="n"/>
      <c r="F7" s="60" t="n"/>
      <c r="G7" s="61" t="n"/>
      <c r="H7" s="62" t="n"/>
    </row>
    <row r="8" ht="22" customHeight="1">
      <c r="A8" s="57" t="n"/>
      <c r="B8" s="58" t="n"/>
      <c r="C8" s="59" t="n"/>
      <c r="D8" s="59" t="n"/>
      <c r="E8" s="59" t="n"/>
      <c r="F8" s="60" t="n"/>
      <c r="G8" s="61" t="n"/>
      <c r="H8" s="62" t="n"/>
    </row>
    <row r="9" ht="22" customHeight="1">
      <c r="A9" s="57" t="n"/>
      <c r="B9" s="58" t="n"/>
      <c r="C9" s="59" t="n"/>
      <c r="D9" s="59" t="n"/>
      <c r="E9" s="59" t="n"/>
      <c r="F9" s="60" t="n"/>
      <c r="G9" s="61" t="n"/>
      <c r="H9" s="62" t="n"/>
    </row>
    <row r="10" ht="22" customHeight="1">
      <c r="A10" s="57" t="n"/>
      <c r="B10" s="58" t="n"/>
      <c r="C10" s="59" t="n"/>
      <c r="D10" s="59" t="n"/>
      <c r="E10" s="59" t="n"/>
      <c r="F10" s="60" t="n"/>
      <c r="G10" s="61" t="n"/>
      <c r="H10" s="62" t="n"/>
    </row>
    <row r="11" ht="22" customHeight="1">
      <c r="A11" s="57" t="n"/>
      <c r="B11" s="58" t="n"/>
      <c r="C11" s="59" t="n"/>
      <c r="D11" s="59" t="n"/>
      <c r="E11" s="59" t="n"/>
      <c r="F11" s="60" t="n"/>
      <c r="G11" s="61" t="n"/>
      <c r="H11" s="62" t="n"/>
    </row>
    <row r="12" ht="22" customHeight="1">
      <c r="A12" s="57" t="n"/>
      <c r="B12" s="58" t="n"/>
      <c r="C12" s="59" t="n"/>
      <c r="D12" s="59" t="n"/>
      <c r="E12" s="59" t="n"/>
      <c r="F12" s="60" t="n"/>
      <c r="G12" s="61" t="n"/>
      <c r="H12" s="62" t="n"/>
    </row>
    <row r="13" ht="22" customHeight="1">
      <c r="A13" s="57" t="n"/>
      <c r="B13" s="58" t="n"/>
      <c r="C13" s="59" t="n"/>
      <c r="D13" s="59" t="n"/>
      <c r="E13" s="59" t="n"/>
      <c r="F13" s="60" t="n"/>
      <c r="G13" s="61" t="n"/>
      <c r="H13" s="62" t="n"/>
    </row>
    <row r="14" ht="22" customHeight="1">
      <c r="A14" s="57" t="n"/>
      <c r="B14" s="58" t="n"/>
      <c r="C14" s="59" t="n"/>
      <c r="D14" s="59" t="n"/>
      <c r="E14" s="59" t="n"/>
      <c r="F14" s="60" t="n"/>
      <c r="G14" s="61" t="n"/>
      <c r="H14" s="62" t="n"/>
    </row>
    <row r="15" ht="22" customHeight="1">
      <c r="A15" s="57" t="n"/>
      <c r="B15" s="58" t="n"/>
      <c r="C15" s="59" t="n"/>
      <c r="D15" s="59" t="n"/>
      <c r="E15" s="59" t="n"/>
      <c r="F15" s="60" t="n"/>
      <c r="G15" s="61" t="n"/>
      <c r="H15" s="62" t="n"/>
    </row>
    <row r="16" ht="22" customHeight="1">
      <c r="A16" s="57" t="n"/>
      <c r="B16" s="58" t="n"/>
      <c r="C16" s="59" t="n"/>
      <c r="D16" s="59" t="n"/>
      <c r="E16" s="59" t="n"/>
      <c r="F16" s="60" t="n"/>
      <c r="G16" s="61" t="n"/>
      <c r="H16" s="62" t="n"/>
    </row>
    <row r="17" ht="22" customHeight="1">
      <c r="A17" s="57" t="n"/>
      <c r="B17" s="58" t="n"/>
      <c r="C17" s="59" t="n"/>
      <c r="D17" s="59" t="n"/>
      <c r="E17" s="59" t="n"/>
      <c r="F17" s="60" t="n"/>
      <c r="G17" s="61" t="n"/>
      <c r="H17" s="62" t="n"/>
    </row>
    <row r="18" ht="22" customHeight="1">
      <c r="A18" s="57" t="n"/>
      <c r="B18" s="58" t="n"/>
      <c r="C18" s="59" t="n"/>
      <c r="D18" s="59" t="n"/>
      <c r="E18" s="59" t="n"/>
      <c r="F18" s="60" t="n"/>
      <c r="G18" s="61" t="n"/>
      <c r="H18" s="62" t="n"/>
    </row>
    <row r="19" ht="22" customHeight="1">
      <c r="A19" s="57" t="n"/>
      <c r="B19" s="58" t="n"/>
      <c r="C19" s="59" t="n"/>
      <c r="D19" s="59" t="n"/>
      <c r="E19" s="59" t="n"/>
      <c r="F19" s="60" t="n"/>
      <c r="G19" s="61" t="n"/>
      <c r="H19" s="62" t="n"/>
    </row>
    <row r="20" ht="22" customHeight="1">
      <c r="A20" s="57" t="n"/>
      <c r="B20" s="58" t="n"/>
      <c r="C20" s="59" t="n"/>
      <c r="D20" s="59" t="n"/>
      <c r="E20" s="59" t="n"/>
      <c r="F20" s="60" t="n"/>
      <c r="G20" s="61" t="n"/>
      <c r="H20" s="62" t="n"/>
    </row>
    <row r="21" ht="22" customHeight="1">
      <c r="A21" s="57" t="n"/>
      <c r="B21" s="58" t="n"/>
      <c r="C21" s="59" t="n"/>
      <c r="D21" s="59" t="n"/>
      <c r="E21" s="59" t="n"/>
      <c r="F21" s="60" t="n"/>
      <c r="G21" s="61" t="n"/>
      <c r="H21" s="62" t="n"/>
    </row>
    <row r="22" ht="22" customHeight="1">
      <c r="A22" s="57" t="n"/>
      <c r="B22" s="58" t="n"/>
      <c r="C22" s="59" t="n"/>
      <c r="D22" s="59" t="n"/>
      <c r="E22" s="59" t="n"/>
      <c r="F22" s="60" t="n"/>
      <c r="G22" s="61" t="n"/>
      <c r="H22" s="62" t="n"/>
    </row>
    <row r="23" ht="22" customHeight="1">
      <c r="A23" s="57" t="n"/>
      <c r="B23" s="58" t="n"/>
      <c r="C23" s="59" t="n"/>
      <c r="D23" s="59" t="n"/>
      <c r="E23" s="59" t="n"/>
      <c r="F23" s="60" t="n"/>
      <c r="G23" s="61" t="n"/>
      <c r="H23" s="62" t="n"/>
    </row>
    <row r="24" ht="22" customHeight="1">
      <c r="A24" s="57" t="n"/>
      <c r="B24" s="58" t="n"/>
      <c r="C24" s="59" t="n"/>
      <c r="D24" s="59" t="n"/>
      <c r="E24" s="59" t="n"/>
      <c r="F24" s="60" t="n"/>
      <c r="G24" s="61" t="n"/>
      <c r="H24" s="62" t="n"/>
    </row>
    <row r="25" ht="22" customHeight="1">
      <c r="A25" s="57" t="n"/>
      <c r="B25" s="58" t="n"/>
      <c r="C25" s="59" t="n"/>
      <c r="D25" s="59" t="n"/>
      <c r="E25" s="59" t="n"/>
      <c r="F25" s="60" t="n"/>
      <c r="G25" s="61" t="n"/>
      <c r="H25" s="62" t="n"/>
    </row>
    <row r="26" ht="22" customHeight="1">
      <c r="A26" s="57" t="n"/>
      <c r="B26" s="58" t="n"/>
      <c r="C26" s="59" t="n"/>
      <c r="D26" s="59" t="n"/>
      <c r="E26" s="59" t="n"/>
      <c r="F26" s="60" t="n"/>
      <c r="G26" s="61" t="n"/>
      <c r="H26" s="62" t="n"/>
    </row>
    <row r="27" ht="22" customHeight="1">
      <c r="A27" s="57" t="n"/>
      <c r="B27" s="58" t="n"/>
      <c r="C27" s="59" t="n"/>
      <c r="D27" s="59" t="n"/>
      <c r="E27" s="59" t="n"/>
      <c r="F27" s="60" t="n"/>
      <c r="G27" s="61" t="n"/>
      <c r="H27" s="62" t="n"/>
    </row>
    <row r="28" ht="22" customHeight="1">
      <c r="A28" s="57" t="n"/>
      <c r="B28" s="58" t="n"/>
      <c r="C28" s="59" t="n"/>
      <c r="D28" s="59" t="n"/>
      <c r="E28" s="59" t="n"/>
      <c r="F28" s="60" t="n"/>
      <c r="G28" s="61" t="n"/>
      <c r="H28" s="62" t="n"/>
    </row>
    <row r="29" ht="22" customHeight="1">
      <c r="A29" s="63" t="n"/>
      <c r="B29" s="64" t="n"/>
      <c r="C29" s="65" t="n"/>
      <c r="D29" s="65" t="n"/>
      <c r="E29" s="65" t="n"/>
      <c r="F29" s="66" t="n"/>
      <c r="G29" s="67" t="n"/>
      <c r="H29" s="68" t="n"/>
    </row>
    <row r="30" ht="20" customHeight="1">
      <c r="A30" s="69" t="inlineStr">
        <is>
          <r>
            <rPr>
              <rFont val="Arial"/>
              <b val="1"/>
              <color rgb="006B7686"/>
              <sz val="8"/>
            </rPr>
            <t xml:space="preserve">Estoque atual:   </t>
          </r>
          <r>
            <rPr>
              <rFont val="Arial"/>
              <color rgb="00B3261E"/>
              <sz val="13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abaixo do mínimo: repor (considere o lead time)      </t>
          </r>
          <r>
            <rPr>
              <rFont val="Arial"/>
              <color rgb="00E0A100"/>
              <sz val="13"/>
            </rPr>
            <t xml:space="preserve">● </t>
          </r>
          <r>
            <rPr>
              <rFont val="Arial"/>
              <b val="1"/>
              <color rgb="006B7686"/>
              <sz val="8"/>
            </rPr>
            <t>igual ao mínimo</t>
          </r>
        </is>
      </c>
    </row>
  </sheetData>
  <mergeCells count="6">
    <mergeCell ref="C2:E2"/>
    <mergeCell ref="C1:E1"/>
    <mergeCell ref="A30:H30"/>
    <mergeCell ref="F1:H1"/>
    <mergeCell ref="F2:H2"/>
    <mergeCell ref="A1:B2"/>
  </mergeCells>
  <conditionalFormatting sqref="H5:H29">
    <cfRule type="expression" priority="1" dxfId="0" stopIfTrue="1">
      <formula>AND(ISNUMBER($H5),ISNUMBER($G5),$H5&lt;$G5)</formula>
    </cfRule>
    <cfRule type="expression" priority="2" dxfId="1" stopIfTrue="1">
      <formula>AND(ISNUMBER($H5),ISNUMBER($G5),$H5=$G5)</formula>
    </cfRule>
  </conditionalFormatting>
  <dataValidations count="5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E5:E29" showDropDown="0" showInputMessage="0" showErrorMessage="1" allowBlank="1" errorTitle="Valor fora da lista" error="Escolha um item da lista." type="list" errorStyle="stop">
      <formula1>L_FORNEC</formula1>
    </dataValidation>
    <dataValidation sqref="F5:F29" showDropDown="0" showInputMessage="0" showErrorMessage="1" allowBlank="1" errorTitle="Número inválido" error="Digite um número inteiro maior ou igual a 0." type="whole" errorStyle="stop" operator="greaterThanOrEqual">
      <formula1>0</formula1>
    </dataValidation>
    <dataValidation sqref="G5:G29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H5:H29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D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.4" customWidth="1" min="1" max="1"/>
    <col width="56" customWidth="1" min="2" max="2"/>
    <col width="26.6" customWidth="1" min="3" max="3"/>
    <col width="31" customWidth="1" min="4" max="4"/>
  </cols>
  <sheetData>
    <row r="1" ht="30.75" customHeight="1">
      <c r="A1" s="70" t="n"/>
      <c r="B1" s="71" t="inlineStr">
        <is>
          <t>Materiais</t>
        </is>
      </c>
      <c r="C1" s="48">
        <f>"Rev. "&amp;'Leia-me'!$D$15&amp;"   ·   "&amp;'Leia-me'!$D$16</f>
        <v/>
      </c>
      <c r="D1" s="45" t="n"/>
    </row>
    <row r="2" ht="31" customHeight="1">
      <c r="A2" s="72" t="n"/>
      <c r="B2" s="73" t="inlineStr">
        <is>
          <t>Objetivo: Cadastro de materiais: código, descrição, unidade e estoque mínimo</t>
        </is>
      </c>
      <c r="C2" s="51">
        <f>"Elaborado: "&amp;'Leia-me'!$D$13&amp;"   ·   Aprovado: "&amp;'Leia-me'!$D$14</f>
        <v/>
      </c>
      <c r="D2" s="50" t="n"/>
    </row>
    <row r="3" ht="26" customHeight="1">
      <c r="A3" s="53" t="inlineStr">
        <is>
          <t>Código do item</t>
        </is>
      </c>
      <c r="B3" s="54" t="inlineStr">
        <is>
          <t>Material</t>
        </is>
      </c>
      <c r="C3" s="54" t="inlineStr">
        <is>
          <t>Unidade ▼</t>
        </is>
      </c>
      <c r="D3" s="55" t="inlineStr">
        <is>
          <t>Estoque mínimo</t>
        </is>
      </c>
    </row>
    <row r="4" hidden="1">
      <c r="A4" s="56" t="inlineStr">
        <is>
          <t>codigo_item</t>
        </is>
      </c>
      <c r="B4" s="56" t="inlineStr">
        <is>
          <t>descricao_item</t>
        </is>
      </c>
      <c r="C4" s="56" t="inlineStr">
        <is>
          <t>unidade_medida</t>
        </is>
      </c>
      <c r="D4" s="56" t="inlineStr">
        <is>
          <t>estoque_minimo</t>
        </is>
      </c>
    </row>
    <row r="5" ht="22" customHeight="1">
      <c r="A5" s="57" t="n"/>
      <c r="B5" s="58" t="n"/>
      <c r="C5" s="74" t="n"/>
      <c r="D5" s="75" t="n"/>
    </row>
    <row r="6" ht="22" customHeight="1">
      <c r="A6" s="57" t="n"/>
      <c r="B6" s="58" t="n"/>
      <c r="C6" s="74" t="n"/>
      <c r="D6" s="75" t="n"/>
    </row>
    <row r="7" ht="22" customHeight="1">
      <c r="A7" s="57" t="n"/>
      <c r="B7" s="58" t="n"/>
      <c r="C7" s="74" t="n"/>
      <c r="D7" s="75" t="n"/>
    </row>
    <row r="8" ht="22" customHeight="1">
      <c r="A8" s="57" t="n"/>
      <c r="B8" s="58" t="n"/>
      <c r="C8" s="74" t="n"/>
      <c r="D8" s="75" t="n"/>
    </row>
    <row r="9" ht="22" customHeight="1">
      <c r="A9" s="57" t="n"/>
      <c r="B9" s="58" t="n"/>
      <c r="C9" s="74" t="n"/>
      <c r="D9" s="75" t="n"/>
    </row>
    <row r="10" ht="22" customHeight="1">
      <c r="A10" s="57" t="n"/>
      <c r="B10" s="58" t="n"/>
      <c r="C10" s="74" t="n"/>
      <c r="D10" s="75" t="n"/>
    </row>
    <row r="11" ht="22" customHeight="1">
      <c r="A11" s="57" t="n"/>
      <c r="B11" s="58" t="n"/>
      <c r="C11" s="74" t="n"/>
      <c r="D11" s="75" t="n"/>
    </row>
    <row r="12" ht="22" customHeight="1">
      <c r="A12" s="57" t="n"/>
      <c r="B12" s="58" t="n"/>
      <c r="C12" s="74" t="n"/>
      <c r="D12" s="75" t="n"/>
    </row>
    <row r="13" ht="22" customHeight="1">
      <c r="A13" s="57" t="n"/>
      <c r="B13" s="58" t="n"/>
      <c r="C13" s="74" t="n"/>
      <c r="D13" s="75" t="n"/>
    </row>
    <row r="14" ht="22" customHeight="1">
      <c r="A14" s="57" t="n"/>
      <c r="B14" s="58" t="n"/>
      <c r="C14" s="74" t="n"/>
      <c r="D14" s="75" t="n"/>
    </row>
    <row r="15" ht="22" customHeight="1">
      <c r="A15" s="57" t="n"/>
      <c r="B15" s="58" t="n"/>
      <c r="C15" s="74" t="n"/>
      <c r="D15" s="75" t="n"/>
    </row>
    <row r="16" ht="22" customHeight="1">
      <c r="A16" s="57" t="n"/>
      <c r="B16" s="58" t="n"/>
      <c r="C16" s="74" t="n"/>
      <c r="D16" s="75" t="n"/>
    </row>
    <row r="17" ht="22" customHeight="1">
      <c r="A17" s="57" t="n"/>
      <c r="B17" s="58" t="n"/>
      <c r="C17" s="74" t="n"/>
      <c r="D17" s="75" t="n"/>
    </row>
    <row r="18" ht="22" customHeight="1">
      <c r="A18" s="57" t="n"/>
      <c r="B18" s="58" t="n"/>
      <c r="C18" s="74" t="n"/>
      <c r="D18" s="75" t="n"/>
    </row>
    <row r="19" ht="22" customHeight="1">
      <c r="A19" s="57" t="n"/>
      <c r="B19" s="58" t="n"/>
      <c r="C19" s="74" t="n"/>
      <c r="D19" s="75" t="n"/>
    </row>
    <row r="20" ht="22" customHeight="1">
      <c r="A20" s="57" t="n"/>
      <c r="B20" s="58" t="n"/>
      <c r="C20" s="74" t="n"/>
      <c r="D20" s="75" t="n"/>
    </row>
    <row r="21" ht="22" customHeight="1">
      <c r="A21" s="57" t="n"/>
      <c r="B21" s="58" t="n"/>
      <c r="C21" s="74" t="n"/>
      <c r="D21" s="75" t="n"/>
    </row>
    <row r="22" ht="22" customHeight="1">
      <c r="A22" s="57" t="n"/>
      <c r="B22" s="58" t="n"/>
      <c r="C22" s="74" t="n"/>
      <c r="D22" s="75" t="n"/>
    </row>
    <row r="23" ht="22" customHeight="1">
      <c r="A23" s="57" t="n"/>
      <c r="B23" s="58" t="n"/>
      <c r="C23" s="74" t="n"/>
      <c r="D23" s="75" t="n"/>
    </row>
    <row r="24" ht="22" customHeight="1">
      <c r="A24" s="57" t="n"/>
      <c r="B24" s="58" t="n"/>
      <c r="C24" s="74" t="n"/>
      <c r="D24" s="75" t="n"/>
    </row>
    <row r="25" ht="22" customHeight="1">
      <c r="A25" s="57" t="n"/>
      <c r="B25" s="58" t="n"/>
      <c r="C25" s="74" t="n"/>
      <c r="D25" s="75" t="n"/>
    </row>
    <row r="26" ht="22" customHeight="1">
      <c r="A26" s="57" t="n"/>
      <c r="B26" s="58" t="n"/>
      <c r="C26" s="74" t="n"/>
      <c r="D26" s="75" t="n"/>
    </row>
    <row r="27" ht="22" customHeight="1">
      <c r="A27" s="57" t="n"/>
      <c r="B27" s="58" t="n"/>
      <c r="C27" s="74" t="n"/>
      <c r="D27" s="75" t="n"/>
    </row>
    <row r="28" ht="22" customHeight="1">
      <c r="A28" s="57" t="n"/>
      <c r="B28" s="58" t="n"/>
      <c r="C28" s="74" t="n"/>
      <c r="D28" s="75" t="n"/>
    </row>
    <row r="29" ht="22" customHeight="1">
      <c r="A29" s="63" t="n"/>
      <c r="B29" s="64" t="n"/>
      <c r="C29" s="76" t="n"/>
      <c r="D29" s="77" t="n"/>
    </row>
    <row r="30" ht="20" customHeight="1">
      <c r="A30" s="69" t="inlineStr">
        <is>
          <t xml:space="preserve"> </t>
        </is>
      </c>
    </row>
  </sheetData>
  <mergeCells count="6">
    <mergeCell ref="B1"/>
    <mergeCell ref="C2:D2"/>
    <mergeCell ref="C1:D1"/>
    <mergeCell ref="A30:D30"/>
    <mergeCell ref="B2"/>
    <mergeCell ref="A1:A2"/>
  </mergeCells>
  <dataValidations count="2">
    <dataValidation sqref="C5:C29" showDropDown="0" showInputMessage="0" showErrorMessage="1" allowBlank="1" errorTitle="Valor fora da lista" error="Escolha um item da lista." type="list" errorStyle="stop">
      <formula1>L_UNIDADES</formula1>
    </dataValidation>
    <dataValidation sqref="D5:D29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F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.9" customWidth="1" min="2" max="2"/>
    <col width="28.9" customWidth="1" min="3" max="3"/>
    <col width="25.5" customWidth="1" min="4" max="4"/>
    <col width="22.1" customWidth="1" min="5" max="5"/>
    <col width="25.5" customWidth="1" min="6" max="6"/>
  </cols>
  <sheetData>
    <row r="1" ht="30.75" customHeight="1">
      <c r="A1" s="70" t="n"/>
      <c r="B1" s="78" t="inlineStr">
        <is>
          <t>Movimentos</t>
        </is>
      </c>
      <c r="C1" s="47" t="n"/>
      <c r="D1" s="45" t="n"/>
      <c r="E1" s="48">
        <f>"Rev. "&amp;'Leia-me'!$D$15&amp;"   ·   "&amp;'Leia-me'!$D$16</f>
        <v/>
      </c>
      <c r="F1" s="45" t="n"/>
    </row>
    <row r="2" ht="28" customHeight="1">
      <c r="A2" s="72" t="n"/>
      <c r="B2" s="51" t="inlineStr">
        <is>
          <t>Objetivo: Entradas e saídas de material, uma linha por movimento</t>
        </is>
      </c>
      <c r="C2" s="52" t="n"/>
      <c r="D2" s="50" t="n"/>
      <c r="E2" s="51">
        <f>"Elaborado: "&amp;'Leia-me'!$D$13&amp;"   ·   Aprovado: "&amp;'Leia-me'!$D$14</f>
        <v/>
      </c>
      <c r="F2" s="50" t="n"/>
    </row>
    <row r="3" ht="26" customHeight="1">
      <c r="A3" s="53" t="inlineStr">
        <is>
          <t>Referência do movimento</t>
        </is>
      </c>
      <c r="B3" s="54" t="inlineStr">
        <is>
          <t>Data e hora</t>
        </is>
      </c>
      <c r="C3" s="54" t="inlineStr">
        <is>
          <t>Código do item ▼</t>
        </is>
      </c>
      <c r="D3" s="54" t="inlineStr">
        <is>
          <t>Tipo ▼</t>
        </is>
      </c>
      <c r="E3" s="54" t="inlineStr">
        <is>
          <t>Quantidade</t>
        </is>
      </c>
      <c r="F3" s="55" t="inlineStr">
        <is>
          <t>Nº da OS</t>
        </is>
      </c>
    </row>
    <row r="4" hidden="1">
      <c r="A4" s="56" t="inlineStr">
        <is>
          <t>referencia_movimento</t>
        </is>
      </c>
      <c r="B4" s="56" t="inlineStr">
        <is>
          <t>data_movimento</t>
        </is>
      </c>
      <c r="C4" s="56" t="inlineStr">
        <is>
          <t>codigo_item</t>
        </is>
      </c>
      <c r="D4" s="56" t="inlineStr">
        <is>
          <t>tipo_movimento</t>
        </is>
      </c>
      <c r="E4" s="56" t="inlineStr">
        <is>
          <t>quantidade</t>
        </is>
      </c>
      <c r="F4" s="56" t="inlineStr">
        <is>
          <t>numero_os</t>
        </is>
      </c>
    </row>
    <row r="5" ht="22" customHeight="1">
      <c r="A5" s="57" t="n"/>
      <c r="B5" s="79" t="n"/>
      <c r="C5" s="80" t="n"/>
      <c r="D5" s="74" t="n"/>
      <c r="E5" s="81" t="n"/>
      <c r="F5" s="82" t="n"/>
    </row>
    <row r="6" ht="22" customHeight="1">
      <c r="A6" s="57" t="n"/>
      <c r="B6" s="79" t="n"/>
      <c r="C6" s="80" t="n"/>
      <c r="D6" s="74" t="n"/>
      <c r="E6" s="81" t="n"/>
      <c r="F6" s="82" t="n"/>
    </row>
    <row r="7" ht="22" customHeight="1">
      <c r="A7" s="57" t="n"/>
      <c r="B7" s="79" t="n"/>
      <c r="C7" s="80" t="n"/>
      <c r="D7" s="74" t="n"/>
      <c r="E7" s="81" t="n"/>
      <c r="F7" s="82" t="n"/>
    </row>
    <row r="8" ht="22" customHeight="1">
      <c r="A8" s="57" t="n"/>
      <c r="B8" s="79" t="n"/>
      <c r="C8" s="80" t="n"/>
      <c r="D8" s="74" t="n"/>
      <c r="E8" s="81" t="n"/>
      <c r="F8" s="82" t="n"/>
    </row>
    <row r="9" ht="22" customHeight="1">
      <c r="A9" s="57" t="n"/>
      <c r="B9" s="79" t="n"/>
      <c r="C9" s="80" t="n"/>
      <c r="D9" s="74" t="n"/>
      <c r="E9" s="81" t="n"/>
      <c r="F9" s="82" t="n"/>
    </row>
    <row r="10" ht="22" customHeight="1">
      <c r="A10" s="57" t="n"/>
      <c r="B10" s="79" t="n"/>
      <c r="C10" s="80" t="n"/>
      <c r="D10" s="74" t="n"/>
      <c r="E10" s="81" t="n"/>
      <c r="F10" s="82" t="n"/>
    </row>
    <row r="11" ht="22" customHeight="1">
      <c r="A11" s="57" t="n"/>
      <c r="B11" s="79" t="n"/>
      <c r="C11" s="80" t="n"/>
      <c r="D11" s="74" t="n"/>
      <c r="E11" s="81" t="n"/>
      <c r="F11" s="82" t="n"/>
    </row>
    <row r="12" ht="22" customHeight="1">
      <c r="A12" s="57" t="n"/>
      <c r="B12" s="79" t="n"/>
      <c r="C12" s="80" t="n"/>
      <c r="D12" s="74" t="n"/>
      <c r="E12" s="81" t="n"/>
      <c r="F12" s="82" t="n"/>
    </row>
    <row r="13" ht="22" customHeight="1">
      <c r="A13" s="57" t="n"/>
      <c r="B13" s="79" t="n"/>
      <c r="C13" s="80" t="n"/>
      <c r="D13" s="74" t="n"/>
      <c r="E13" s="81" t="n"/>
      <c r="F13" s="82" t="n"/>
    </row>
    <row r="14" ht="22" customHeight="1">
      <c r="A14" s="57" t="n"/>
      <c r="B14" s="79" t="n"/>
      <c r="C14" s="80" t="n"/>
      <c r="D14" s="74" t="n"/>
      <c r="E14" s="81" t="n"/>
      <c r="F14" s="82" t="n"/>
    </row>
    <row r="15" ht="22" customHeight="1">
      <c r="A15" s="57" t="n"/>
      <c r="B15" s="79" t="n"/>
      <c r="C15" s="80" t="n"/>
      <c r="D15" s="74" t="n"/>
      <c r="E15" s="81" t="n"/>
      <c r="F15" s="82" t="n"/>
    </row>
    <row r="16" ht="22" customHeight="1">
      <c r="A16" s="57" t="n"/>
      <c r="B16" s="79" t="n"/>
      <c r="C16" s="80" t="n"/>
      <c r="D16" s="74" t="n"/>
      <c r="E16" s="81" t="n"/>
      <c r="F16" s="82" t="n"/>
    </row>
    <row r="17" ht="22" customHeight="1">
      <c r="A17" s="57" t="n"/>
      <c r="B17" s="79" t="n"/>
      <c r="C17" s="80" t="n"/>
      <c r="D17" s="74" t="n"/>
      <c r="E17" s="81" t="n"/>
      <c r="F17" s="82" t="n"/>
    </row>
    <row r="18" ht="22" customHeight="1">
      <c r="A18" s="57" t="n"/>
      <c r="B18" s="79" t="n"/>
      <c r="C18" s="80" t="n"/>
      <c r="D18" s="74" t="n"/>
      <c r="E18" s="81" t="n"/>
      <c r="F18" s="82" t="n"/>
    </row>
    <row r="19" ht="22" customHeight="1">
      <c r="A19" s="57" t="n"/>
      <c r="B19" s="79" t="n"/>
      <c r="C19" s="80" t="n"/>
      <c r="D19" s="74" t="n"/>
      <c r="E19" s="81" t="n"/>
      <c r="F19" s="82" t="n"/>
    </row>
    <row r="20" ht="22" customHeight="1">
      <c r="A20" s="57" t="n"/>
      <c r="B20" s="79" t="n"/>
      <c r="C20" s="80" t="n"/>
      <c r="D20" s="74" t="n"/>
      <c r="E20" s="81" t="n"/>
      <c r="F20" s="82" t="n"/>
    </row>
    <row r="21" ht="22" customHeight="1">
      <c r="A21" s="57" t="n"/>
      <c r="B21" s="79" t="n"/>
      <c r="C21" s="80" t="n"/>
      <c r="D21" s="74" t="n"/>
      <c r="E21" s="81" t="n"/>
      <c r="F21" s="82" t="n"/>
    </row>
    <row r="22" ht="22" customHeight="1">
      <c r="A22" s="57" t="n"/>
      <c r="B22" s="79" t="n"/>
      <c r="C22" s="80" t="n"/>
      <c r="D22" s="74" t="n"/>
      <c r="E22" s="81" t="n"/>
      <c r="F22" s="82" t="n"/>
    </row>
    <row r="23" ht="22" customHeight="1">
      <c r="A23" s="57" t="n"/>
      <c r="B23" s="79" t="n"/>
      <c r="C23" s="80" t="n"/>
      <c r="D23" s="74" t="n"/>
      <c r="E23" s="81" t="n"/>
      <c r="F23" s="82" t="n"/>
    </row>
    <row r="24" ht="22" customHeight="1">
      <c r="A24" s="57" t="n"/>
      <c r="B24" s="79" t="n"/>
      <c r="C24" s="80" t="n"/>
      <c r="D24" s="74" t="n"/>
      <c r="E24" s="81" t="n"/>
      <c r="F24" s="82" t="n"/>
    </row>
    <row r="25" ht="22" customHeight="1">
      <c r="A25" s="57" t="n"/>
      <c r="B25" s="79" t="n"/>
      <c r="C25" s="80" t="n"/>
      <c r="D25" s="74" t="n"/>
      <c r="E25" s="81" t="n"/>
      <c r="F25" s="82" t="n"/>
    </row>
    <row r="26" ht="22" customHeight="1">
      <c r="A26" s="57" t="n"/>
      <c r="B26" s="79" t="n"/>
      <c r="C26" s="80" t="n"/>
      <c r="D26" s="74" t="n"/>
      <c r="E26" s="81" t="n"/>
      <c r="F26" s="82" t="n"/>
    </row>
    <row r="27" ht="22" customHeight="1">
      <c r="A27" s="57" t="n"/>
      <c r="B27" s="79" t="n"/>
      <c r="C27" s="80" t="n"/>
      <c r="D27" s="74" t="n"/>
      <c r="E27" s="81" t="n"/>
      <c r="F27" s="82" t="n"/>
    </row>
    <row r="28" ht="22" customHeight="1">
      <c r="A28" s="57" t="n"/>
      <c r="B28" s="79" t="n"/>
      <c r="C28" s="80" t="n"/>
      <c r="D28" s="74" t="n"/>
      <c r="E28" s="81" t="n"/>
      <c r="F28" s="82" t="n"/>
    </row>
    <row r="29" ht="22" customHeight="1">
      <c r="A29" s="63" t="n"/>
      <c r="B29" s="83" t="n"/>
      <c r="C29" s="84" t="n"/>
      <c r="D29" s="76" t="n"/>
      <c r="E29" s="85" t="n"/>
      <c r="F29" s="86" t="n"/>
    </row>
    <row r="30" ht="20" customHeight="1">
      <c r="A30" s="69" t="inlineStr">
        <is>
          <t xml:space="preserve"> </t>
        </is>
      </c>
    </row>
  </sheetData>
  <mergeCells count="6">
    <mergeCell ref="E2:F2"/>
    <mergeCell ref="B1:D1"/>
    <mergeCell ref="E1:F1"/>
    <mergeCell ref="A30:F30"/>
    <mergeCell ref="B2:D2"/>
    <mergeCell ref="A1:A2"/>
  </mergeCells>
  <dataValidations count="4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C5:C29" showDropDown="0" showInputMessage="0" showErrorMessage="1" allowBlank="1" errorTitle="Valor fora da lista" error="Escolha um item da lista." type="list" errorStyle="stop">
      <formula1>L_ITENS</formula1>
    </dataValidation>
    <dataValidation sqref="D5:D29" showDropDown="0" showInputMessage="0" showErrorMessage="1" allowBlank="1" errorTitle="Valor fora da lista" error="Escolha um item da lista." type="list" errorStyle="stop">
      <formula1>L_TIPO_MOV</formula1>
    </dataValidation>
    <dataValidation sqref="E5:E29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.2" customWidth="1" min="1" max="1"/>
    <col width="36.9" customWidth="1" min="2" max="2"/>
    <col width="32.6" customWidth="1" min="3" max="3"/>
    <col width="28.2" customWidth="1" min="4" max="4"/>
    <col width="26.1" customWidth="1" min="5" max="5"/>
  </cols>
  <sheetData>
    <row r="1" ht="30.75" customHeight="1">
      <c r="A1" s="70" t="n"/>
      <c r="B1" s="78" t="inlineStr">
        <is>
          <t>Reservas</t>
        </is>
      </c>
      <c r="C1" s="45" t="n"/>
      <c r="D1" s="48">
        <f>"Rev. "&amp;'Leia-me'!$D$15&amp;"   ·   "&amp;'Leia-me'!$D$16</f>
        <v/>
      </c>
      <c r="E1" s="45" t="n"/>
    </row>
    <row r="2" ht="28" customHeight="1">
      <c r="A2" s="72" t="n"/>
      <c r="B2" s="51" t="inlineStr">
        <is>
          <t>Objetivo: Material reservado para OS programadas</t>
        </is>
      </c>
      <c r="C2" s="50" t="n"/>
      <c r="D2" s="51">
        <f>"Elaborado: "&amp;'Leia-me'!$D$13&amp;"   ·   Aprovado: "&amp;'Leia-me'!$D$14</f>
        <v/>
      </c>
      <c r="E2" s="50" t="n"/>
    </row>
    <row r="3" ht="26" customHeight="1">
      <c r="A3" s="53" t="inlineStr">
        <is>
          <t>Referência da reserva</t>
        </is>
      </c>
      <c r="B3" s="54" t="inlineStr">
        <is>
          <t>Código do item ▼</t>
        </is>
      </c>
      <c r="C3" s="54" t="inlineStr">
        <is>
          <t>Nº da OS</t>
        </is>
      </c>
      <c r="D3" s="54" t="inlineStr">
        <is>
          <t>Quantidade reservada</t>
        </is>
      </c>
      <c r="E3" s="55" t="inlineStr">
        <is>
          <t>Situação ▼</t>
        </is>
      </c>
    </row>
    <row r="4" hidden="1">
      <c r="A4" s="56" t="inlineStr">
        <is>
          <t>referencia_reserva</t>
        </is>
      </c>
      <c r="B4" s="56" t="inlineStr">
        <is>
          <t>codigo_item</t>
        </is>
      </c>
      <c r="C4" s="56" t="inlineStr">
        <is>
          <t>numero_os</t>
        </is>
      </c>
      <c r="D4" s="56" t="inlineStr">
        <is>
          <t>quantidade_reservada</t>
        </is>
      </c>
      <c r="E4" s="56" t="inlineStr">
        <is>
          <t>status_reserva</t>
        </is>
      </c>
    </row>
    <row r="5" ht="22" customHeight="1">
      <c r="A5" s="57" t="n"/>
      <c r="B5" s="80" t="n"/>
      <c r="C5" s="80" t="n"/>
      <c r="D5" s="81" t="n"/>
      <c r="E5" s="87" t="n"/>
    </row>
    <row r="6" ht="22" customHeight="1">
      <c r="A6" s="57" t="n"/>
      <c r="B6" s="80" t="n"/>
      <c r="C6" s="80" t="n"/>
      <c r="D6" s="81" t="n"/>
      <c r="E6" s="87" t="n"/>
    </row>
    <row r="7" ht="22" customHeight="1">
      <c r="A7" s="57" t="n"/>
      <c r="B7" s="80" t="n"/>
      <c r="C7" s="80" t="n"/>
      <c r="D7" s="81" t="n"/>
      <c r="E7" s="87" t="n"/>
    </row>
    <row r="8" ht="22" customHeight="1">
      <c r="A8" s="57" t="n"/>
      <c r="B8" s="80" t="n"/>
      <c r="C8" s="80" t="n"/>
      <c r="D8" s="81" t="n"/>
      <c r="E8" s="87" t="n"/>
    </row>
    <row r="9" ht="22" customHeight="1">
      <c r="A9" s="57" t="n"/>
      <c r="B9" s="80" t="n"/>
      <c r="C9" s="80" t="n"/>
      <c r="D9" s="81" t="n"/>
      <c r="E9" s="87" t="n"/>
    </row>
    <row r="10" ht="22" customHeight="1">
      <c r="A10" s="57" t="n"/>
      <c r="B10" s="80" t="n"/>
      <c r="C10" s="80" t="n"/>
      <c r="D10" s="81" t="n"/>
      <c r="E10" s="87" t="n"/>
    </row>
    <row r="11" ht="22" customHeight="1">
      <c r="A11" s="57" t="n"/>
      <c r="B11" s="80" t="n"/>
      <c r="C11" s="80" t="n"/>
      <c r="D11" s="81" t="n"/>
      <c r="E11" s="87" t="n"/>
    </row>
    <row r="12" ht="22" customHeight="1">
      <c r="A12" s="57" t="n"/>
      <c r="B12" s="80" t="n"/>
      <c r="C12" s="80" t="n"/>
      <c r="D12" s="81" t="n"/>
      <c r="E12" s="87" t="n"/>
    </row>
    <row r="13" ht="22" customHeight="1">
      <c r="A13" s="57" t="n"/>
      <c r="B13" s="80" t="n"/>
      <c r="C13" s="80" t="n"/>
      <c r="D13" s="81" t="n"/>
      <c r="E13" s="87" t="n"/>
    </row>
    <row r="14" ht="22" customHeight="1">
      <c r="A14" s="57" t="n"/>
      <c r="B14" s="80" t="n"/>
      <c r="C14" s="80" t="n"/>
      <c r="D14" s="81" t="n"/>
      <c r="E14" s="87" t="n"/>
    </row>
    <row r="15" ht="22" customHeight="1">
      <c r="A15" s="57" t="n"/>
      <c r="B15" s="80" t="n"/>
      <c r="C15" s="80" t="n"/>
      <c r="D15" s="81" t="n"/>
      <c r="E15" s="87" t="n"/>
    </row>
    <row r="16" ht="22" customHeight="1">
      <c r="A16" s="57" t="n"/>
      <c r="B16" s="80" t="n"/>
      <c r="C16" s="80" t="n"/>
      <c r="D16" s="81" t="n"/>
      <c r="E16" s="87" t="n"/>
    </row>
    <row r="17" ht="22" customHeight="1">
      <c r="A17" s="57" t="n"/>
      <c r="B17" s="80" t="n"/>
      <c r="C17" s="80" t="n"/>
      <c r="D17" s="81" t="n"/>
      <c r="E17" s="87" t="n"/>
    </row>
    <row r="18" ht="22" customHeight="1">
      <c r="A18" s="57" t="n"/>
      <c r="B18" s="80" t="n"/>
      <c r="C18" s="80" t="n"/>
      <c r="D18" s="81" t="n"/>
      <c r="E18" s="87" t="n"/>
    </row>
    <row r="19" ht="22" customHeight="1">
      <c r="A19" s="57" t="n"/>
      <c r="B19" s="80" t="n"/>
      <c r="C19" s="80" t="n"/>
      <c r="D19" s="81" t="n"/>
      <c r="E19" s="87" t="n"/>
    </row>
    <row r="20" ht="22" customHeight="1">
      <c r="A20" s="57" t="n"/>
      <c r="B20" s="80" t="n"/>
      <c r="C20" s="80" t="n"/>
      <c r="D20" s="81" t="n"/>
      <c r="E20" s="87" t="n"/>
    </row>
    <row r="21" ht="22" customHeight="1">
      <c r="A21" s="57" t="n"/>
      <c r="B21" s="80" t="n"/>
      <c r="C21" s="80" t="n"/>
      <c r="D21" s="81" t="n"/>
      <c r="E21" s="87" t="n"/>
    </row>
    <row r="22" ht="22" customHeight="1">
      <c r="A22" s="57" t="n"/>
      <c r="B22" s="80" t="n"/>
      <c r="C22" s="80" t="n"/>
      <c r="D22" s="81" t="n"/>
      <c r="E22" s="87" t="n"/>
    </row>
    <row r="23" ht="22" customHeight="1">
      <c r="A23" s="57" t="n"/>
      <c r="B23" s="80" t="n"/>
      <c r="C23" s="80" t="n"/>
      <c r="D23" s="81" t="n"/>
      <c r="E23" s="87" t="n"/>
    </row>
    <row r="24" ht="22" customHeight="1">
      <c r="A24" s="57" t="n"/>
      <c r="B24" s="80" t="n"/>
      <c r="C24" s="80" t="n"/>
      <c r="D24" s="81" t="n"/>
      <c r="E24" s="87" t="n"/>
    </row>
    <row r="25" ht="22" customHeight="1">
      <c r="A25" s="57" t="n"/>
      <c r="B25" s="80" t="n"/>
      <c r="C25" s="80" t="n"/>
      <c r="D25" s="81" t="n"/>
      <c r="E25" s="87" t="n"/>
    </row>
    <row r="26" ht="22" customHeight="1">
      <c r="A26" s="57" t="n"/>
      <c r="B26" s="80" t="n"/>
      <c r="C26" s="80" t="n"/>
      <c r="D26" s="81" t="n"/>
      <c r="E26" s="87" t="n"/>
    </row>
    <row r="27" ht="22" customHeight="1">
      <c r="A27" s="57" t="n"/>
      <c r="B27" s="80" t="n"/>
      <c r="C27" s="80" t="n"/>
      <c r="D27" s="81" t="n"/>
      <c r="E27" s="87" t="n"/>
    </row>
    <row r="28" ht="22" customHeight="1">
      <c r="A28" s="57" t="n"/>
      <c r="B28" s="80" t="n"/>
      <c r="C28" s="80" t="n"/>
      <c r="D28" s="81" t="n"/>
      <c r="E28" s="87" t="n"/>
    </row>
    <row r="29" ht="22" customHeight="1">
      <c r="A29" s="63" t="n"/>
      <c r="B29" s="84" t="n"/>
      <c r="C29" s="84" t="n"/>
      <c r="D29" s="85" t="n"/>
      <c r="E29" s="88" t="n"/>
    </row>
    <row r="30" ht="36" customHeight="1">
      <c r="A30" s="69" t="inlineStr">
        <is>
          <r>
            <rPr>
              <rFont val="Arial"/>
              <b val="1"/>
              <color rgb="004A5668"/>
              <sz val="8"/>
            </rPr>
            <t xml:space="preserve">Situação:  </t>
          </r>
          <r>
            <rPr>
              <rFont val="Arial"/>
              <color rgb="001E9E4A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Atendida    </t>
          </r>
          <r>
            <rPr>
              <rFont val="Arial"/>
              <color rgb="00F2B705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Ativa (reduz o disponível)    </t>
          </r>
          <r>
            <rPr>
              <rFont val="Arial"/>
              <color rgb="009AA3B2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Cancelada    </t>
          </r>
        </is>
      </c>
    </row>
  </sheetData>
  <mergeCells count="6">
    <mergeCell ref="A30:E30"/>
    <mergeCell ref="B2:C2"/>
    <mergeCell ref="D2:E2"/>
    <mergeCell ref="D1:E1"/>
    <mergeCell ref="B1:C1"/>
    <mergeCell ref="A1:A2"/>
  </mergeCells>
  <conditionalFormatting sqref="E5:E29">
    <cfRule type="expression" priority="1" dxfId="1" stopIfTrue="1">
      <formula>$E5="ATIVA"</formula>
    </cfRule>
    <cfRule type="expression" priority="2" dxfId="2" stopIfTrue="1">
      <formula>$E5="ATENDIDA"</formula>
    </cfRule>
    <cfRule type="expression" priority="3" dxfId="3" stopIfTrue="1">
      <formula>$E5="CANCELADA"</formula>
    </cfRule>
  </conditionalFormatting>
  <dataValidations count="3">
    <dataValidation sqref="B5:B29" showDropDown="0" showInputMessage="0" showErrorMessage="1" allowBlank="1" errorTitle="Valor fora da lista" error="Escolha um item da lista." type="list" errorStyle="stop">
      <formula1>L_ITENS</formula1>
    </dataValidation>
    <dataValidation sqref="D5:D29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E5:E29" showDropDown="0" showInputMessage="0" showErrorMessage="1" allowBlank="1" errorTitle="Valor fora da lista" error="Escolha um item da lista." type="list" errorStyle="stop">
      <formula1>L_STATUS_RES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D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1" customWidth="1" min="1" max="1"/>
    <col width="3" customWidth="1" min="2" max="2"/>
    <col width="61" customWidth="1" min="3" max="3"/>
    <col width="40" customWidth="1" min="4" max="4"/>
  </cols>
  <sheetData>
    <row r="1" ht="30.75" customHeight="1">
      <c r="A1" s="70" t="n"/>
      <c r="B1" s="78" t="inlineStr">
        <is>
          <t>Cadastros</t>
        </is>
      </c>
      <c r="C1" s="45" t="n"/>
      <c r="D1" s="89">
        <f>"Rev. "&amp;'Leia-me'!$D$15&amp;"   ·   "&amp;'Leia-me'!$D$16</f>
        <v/>
      </c>
    </row>
    <row r="2" ht="28" customHeight="1">
      <c r="A2" s="72" t="n"/>
      <c r="B2" s="51" t="inlineStr">
        <is>
          <t>Objetivo: Cadastre aqui os itens usados nas listas (▼) das outras abas.</t>
        </is>
      </c>
      <c r="C2" s="50" t="n"/>
      <c r="D2" s="73">
        <f>"Elaborado: "&amp;'Leia-me'!$D$13&amp;"   ·   Aprovado: "&amp;'Leia-me'!$D$14</f>
        <v/>
      </c>
    </row>
    <row r="3" ht="26" customHeight="1">
      <c r="A3" s="90" t="inlineStr">
        <is>
          <t>Família de equipamento</t>
        </is>
      </c>
      <c r="C3" s="90" t="inlineStr">
        <is>
          <t>Fornecedor</t>
        </is>
      </c>
    </row>
    <row r="4" hidden="1">
      <c r="A4" s="56" t="inlineStr">
        <is>
          <t>nome_familia</t>
        </is>
      </c>
      <c r="C4" s="56" t="inlineStr">
        <is>
          <t>nome_fornecedor</t>
        </is>
      </c>
    </row>
    <row r="5" ht="22" customHeight="1">
      <c r="A5" s="91" t="n"/>
      <c r="C5" s="91" t="n"/>
    </row>
    <row r="6" ht="22" customHeight="1">
      <c r="A6" s="91" t="n"/>
      <c r="C6" s="91" t="n"/>
    </row>
    <row r="7" ht="22" customHeight="1">
      <c r="A7" s="91" t="n"/>
      <c r="C7" s="91" t="n"/>
    </row>
    <row r="8" ht="22" customHeight="1">
      <c r="A8" s="91" t="n"/>
      <c r="C8" s="91" t="n"/>
    </row>
    <row r="9" ht="22" customHeight="1">
      <c r="A9" s="91" t="n"/>
      <c r="C9" s="91" t="n"/>
    </row>
    <row r="10" ht="22" customHeight="1">
      <c r="A10" s="91" t="n"/>
      <c r="C10" s="91" t="n"/>
    </row>
    <row r="11" ht="22" customHeight="1">
      <c r="A11" s="91" t="n"/>
      <c r="C11" s="91" t="n"/>
    </row>
    <row r="12" ht="22" customHeight="1">
      <c r="A12" s="91" t="n"/>
      <c r="C12" s="91" t="n"/>
    </row>
    <row r="13" ht="22" customHeight="1">
      <c r="A13" s="91" t="n"/>
      <c r="C13" s="91" t="n"/>
    </row>
    <row r="14" ht="22" customHeight="1">
      <c r="A14" s="91" t="n"/>
      <c r="C14" s="91" t="n"/>
    </row>
    <row r="15" ht="22" customHeight="1">
      <c r="A15" s="91" t="n"/>
      <c r="C15" s="91" t="n"/>
    </row>
    <row r="16" ht="22" customHeight="1">
      <c r="A16" s="91" t="n"/>
      <c r="C16" s="91" t="n"/>
    </row>
    <row r="17" ht="22" customHeight="1">
      <c r="A17" s="91" t="n"/>
      <c r="C17" s="91" t="n"/>
    </row>
    <row r="18" ht="22" customHeight="1">
      <c r="A18" s="91" t="n"/>
      <c r="C18" s="91" t="n"/>
    </row>
    <row r="19" ht="22" customHeight="1">
      <c r="A19" s="91" t="n"/>
      <c r="C19" s="91" t="n"/>
    </row>
    <row r="20" ht="22" customHeight="1">
      <c r="A20" s="91" t="n"/>
      <c r="C20" s="91" t="n"/>
    </row>
    <row r="21" ht="22" customHeight="1">
      <c r="A21" s="91" t="n"/>
      <c r="C21" s="91" t="n"/>
    </row>
    <row r="22" ht="22" customHeight="1">
      <c r="A22" s="91" t="n"/>
      <c r="C22" s="91" t="n"/>
    </row>
    <row r="23" ht="22" customHeight="1">
      <c r="A23" s="91" t="n"/>
      <c r="C23" s="91" t="n"/>
    </row>
    <row r="24" ht="22" customHeight="1">
      <c r="A24" s="91" t="n"/>
      <c r="C24" s="91" t="n"/>
    </row>
    <row r="25" ht="22" customHeight="1">
      <c r="A25" s="91" t="n"/>
      <c r="C25" s="91" t="n"/>
    </row>
    <row r="26" ht="22" customHeight="1">
      <c r="A26" s="91" t="n"/>
      <c r="C26" s="91" t="n"/>
    </row>
    <row r="27" ht="22" customHeight="1">
      <c r="A27" s="91" t="n"/>
      <c r="C27" s="91" t="n"/>
    </row>
    <row r="28" ht="22" customHeight="1">
      <c r="A28" s="91" t="n"/>
      <c r="C28" s="91" t="n"/>
    </row>
    <row r="29" ht="22" customHeight="1">
      <c r="A29" s="92" t="n"/>
      <c r="C29" s="92" t="n"/>
    </row>
    <row r="30" ht="20" customHeight="1">
      <c r="A30" s="69" t="inlineStr">
        <is>
          <t xml:space="preserve"> </t>
        </is>
      </c>
    </row>
  </sheetData>
  <mergeCells count="6">
    <mergeCell ref="B2:C2"/>
    <mergeCell ref="A30:D30"/>
    <mergeCell ref="D1"/>
    <mergeCell ref="D2"/>
    <mergeCell ref="B1:C1"/>
    <mergeCell ref="A1:A2"/>
  </mergeCell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4" t="n"/>
      <c r="B1" s="45" t="n"/>
      <c r="C1" s="71" t="inlineStr">
        <is>
          <t>Revisões</t>
        </is>
      </c>
      <c r="D1" s="48">
        <f>"Rev. "&amp;'Leia-me'!$D$15&amp;"   ·   "&amp;'Leia-me'!$D$16</f>
        <v/>
      </c>
      <c r="E1" s="45" t="n"/>
    </row>
    <row r="2" ht="28" customHeight="1">
      <c r="A2" s="49" t="n"/>
      <c r="B2" s="50" t="n"/>
      <c r="C2" s="73" t="inlineStr">
        <is>
          <t>Objetivo: Registre cada alteração do modelo; a última linha alimenta Rev. e data do cabeçalho.</t>
        </is>
      </c>
      <c r="D2" s="51">
        <f>"Elaborado: "&amp;'Leia-me'!$D$13&amp;"   ·   Aprovado: "&amp;'Leia-me'!$D$14</f>
        <v/>
      </c>
      <c r="E2" s="50" t="n"/>
    </row>
    <row r="3" ht="26" customHeight="1">
      <c r="A3" s="53" t="inlineStr">
        <is>
          <t>Rev</t>
        </is>
      </c>
      <c r="B3" s="54" t="inlineStr">
        <is>
          <t>Data</t>
        </is>
      </c>
      <c r="C3" s="54" t="inlineStr">
        <is>
          <t>Descrição da alteração</t>
        </is>
      </c>
      <c r="D3" s="54" t="inlineStr">
        <is>
          <t>Elaborado por</t>
        </is>
      </c>
      <c r="E3" s="55" t="inlineStr">
        <is>
          <t>Aprovado por</t>
        </is>
      </c>
    </row>
    <row r="4" hidden="1">
      <c r="A4" s="56" t="inlineStr">
        <is>
          <t>revisao</t>
        </is>
      </c>
      <c r="B4" s="56" t="inlineStr">
        <is>
          <t>data_revisao</t>
        </is>
      </c>
      <c r="C4" s="56" t="inlineStr">
        <is>
          <t>descricao_alteracao</t>
        </is>
      </c>
      <c r="D4" s="56" t="inlineStr">
        <is>
          <t>elaborado_por</t>
        </is>
      </c>
      <c r="E4" s="56" t="inlineStr">
        <is>
          <t>aprovado_por</t>
        </is>
      </c>
    </row>
    <row r="5" ht="22" customHeight="1">
      <c r="A5" s="93" t="inlineStr">
        <is>
          <t>00</t>
        </is>
      </c>
      <c r="B5" s="94" t="n">
        <v>46325</v>
      </c>
      <c r="C5" s="58" t="inlineStr">
        <is>
          <t>Emissão inicial</t>
        </is>
      </c>
      <c r="D5" s="59" t="n"/>
      <c r="E5" s="95" t="n"/>
    </row>
    <row r="6" ht="22" customHeight="1">
      <c r="A6" s="93" t="n"/>
      <c r="B6" s="94" t="n"/>
      <c r="C6" s="58" t="n"/>
      <c r="D6" s="59" t="n"/>
      <c r="E6" s="95" t="n"/>
    </row>
    <row r="7" ht="22" customHeight="1">
      <c r="A7" s="93" t="n"/>
      <c r="B7" s="94" t="n"/>
      <c r="C7" s="58" t="n"/>
      <c r="D7" s="59" t="n"/>
      <c r="E7" s="95" t="n"/>
    </row>
    <row r="8" ht="22" customHeight="1">
      <c r="A8" s="93" t="n"/>
      <c r="B8" s="94" t="n"/>
      <c r="C8" s="58" t="n"/>
      <c r="D8" s="59" t="n"/>
      <c r="E8" s="95" t="n"/>
    </row>
    <row r="9" ht="22" customHeight="1">
      <c r="A9" s="93" t="n"/>
      <c r="B9" s="94" t="n"/>
      <c r="C9" s="58" t="n"/>
      <c r="D9" s="59" t="n"/>
      <c r="E9" s="95" t="n"/>
    </row>
    <row r="10" ht="22" customHeight="1">
      <c r="A10" s="93" t="n"/>
      <c r="B10" s="94" t="n"/>
      <c r="C10" s="58" t="n"/>
      <c r="D10" s="59" t="n"/>
      <c r="E10" s="95" t="n"/>
    </row>
    <row r="11" ht="22" customHeight="1">
      <c r="A11" s="93" t="n"/>
      <c r="B11" s="94" t="n"/>
      <c r="C11" s="58" t="n"/>
      <c r="D11" s="59" t="n"/>
      <c r="E11" s="95" t="n"/>
    </row>
    <row r="12" ht="22" customHeight="1">
      <c r="A12" s="93" t="n"/>
      <c r="B12" s="94" t="n"/>
      <c r="C12" s="58" t="n"/>
      <c r="D12" s="59" t="n"/>
      <c r="E12" s="95" t="n"/>
    </row>
    <row r="13" ht="22" customHeight="1">
      <c r="A13" s="93" t="n"/>
      <c r="B13" s="94" t="n"/>
      <c r="C13" s="58" t="n"/>
      <c r="D13" s="59" t="n"/>
      <c r="E13" s="95" t="n"/>
    </row>
    <row r="14" ht="22" customHeight="1">
      <c r="A14" s="93" t="n"/>
      <c r="B14" s="94" t="n"/>
      <c r="C14" s="58" t="n"/>
      <c r="D14" s="59" t="n"/>
      <c r="E14" s="95" t="n"/>
    </row>
    <row r="15" ht="22" customHeight="1">
      <c r="A15" s="93" t="n"/>
      <c r="B15" s="94" t="n"/>
      <c r="C15" s="58" t="n"/>
      <c r="D15" s="59" t="n"/>
      <c r="E15" s="95" t="n"/>
    </row>
    <row r="16" ht="22" customHeight="1">
      <c r="A16" s="93" t="n"/>
      <c r="B16" s="94" t="n"/>
      <c r="C16" s="58" t="n"/>
      <c r="D16" s="59" t="n"/>
      <c r="E16" s="95" t="n"/>
    </row>
    <row r="17" ht="22" customHeight="1">
      <c r="A17" s="93" t="n"/>
      <c r="B17" s="94" t="n"/>
      <c r="C17" s="58" t="n"/>
      <c r="D17" s="59" t="n"/>
      <c r="E17" s="95" t="n"/>
    </row>
    <row r="18" ht="22" customHeight="1">
      <c r="A18" s="93" t="n"/>
      <c r="B18" s="94" t="n"/>
      <c r="C18" s="58" t="n"/>
      <c r="D18" s="59" t="n"/>
      <c r="E18" s="95" t="n"/>
    </row>
    <row r="19" ht="22" customHeight="1">
      <c r="A19" s="93" t="n"/>
      <c r="B19" s="94" t="n"/>
      <c r="C19" s="58" t="n"/>
      <c r="D19" s="59" t="n"/>
      <c r="E19" s="95" t="n"/>
    </row>
    <row r="20" ht="22" customHeight="1">
      <c r="A20" s="93" t="n"/>
      <c r="B20" s="94" t="n"/>
      <c r="C20" s="58" t="n"/>
      <c r="D20" s="59" t="n"/>
      <c r="E20" s="95" t="n"/>
    </row>
    <row r="21" ht="22" customHeight="1">
      <c r="A21" s="93" t="n"/>
      <c r="B21" s="94" t="n"/>
      <c r="C21" s="58" t="n"/>
      <c r="D21" s="59" t="n"/>
      <c r="E21" s="95" t="n"/>
    </row>
    <row r="22" ht="22" customHeight="1">
      <c r="A22" s="93" t="n"/>
      <c r="B22" s="94" t="n"/>
      <c r="C22" s="58" t="n"/>
      <c r="D22" s="59" t="n"/>
      <c r="E22" s="95" t="n"/>
    </row>
    <row r="23" ht="22" customHeight="1">
      <c r="A23" s="93" t="n"/>
      <c r="B23" s="94" t="n"/>
      <c r="C23" s="58" t="n"/>
      <c r="D23" s="59" t="n"/>
      <c r="E23" s="95" t="n"/>
    </row>
    <row r="24" ht="22" customHeight="1">
      <c r="A24" s="93" t="n"/>
      <c r="B24" s="94" t="n"/>
      <c r="C24" s="58" t="n"/>
      <c r="D24" s="59" t="n"/>
      <c r="E24" s="95" t="n"/>
    </row>
    <row r="25" ht="22" customHeight="1">
      <c r="A25" s="93" t="n"/>
      <c r="B25" s="94" t="n"/>
      <c r="C25" s="58" t="n"/>
      <c r="D25" s="59" t="n"/>
      <c r="E25" s="95" t="n"/>
    </row>
    <row r="26" ht="22" customHeight="1">
      <c r="A26" s="93" t="n"/>
      <c r="B26" s="94" t="n"/>
      <c r="C26" s="58" t="n"/>
      <c r="D26" s="59" t="n"/>
      <c r="E26" s="95" t="n"/>
    </row>
    <row r="27" ht="22" customHeight="1">
      <c r="A27" s="93" t="n"/>
      <c r="B27" s="94" t="n"/>
      <c r="C27" s="58" t="n"/>
      <c r="D27" s="59" t="n"/>
      <c r="E27" s="95" t="n"/>
    </row>
    <row r="28" ht="22" customHeight="1">
      <c r="A28" s="93" t="n"/>
      <c r="B28" s="94" t="n"/>
      <c r="C28" s="58" t="n"/>
      <c r="D28" s="59" t="n"/>
      <c r="E28" s="95" t="n"/>
    </row>
    <row r="29" ht="22" customHeight="1">
      <c r="A29" s="96" t="n"/>
      <c r="B29" s="97" t="n"/>
      <c r="C29" s="64" t="n"/>
      <c r="D29" s="65" t="n"/>
      <c r="E29" s="98" t="n"/>
    </row>
    <row r="30" ht="20" customHeight="1">
      <c r="A30" s="69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&amp;K4A5668PCM-MAN-010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2026-10-31T02:04:48Z</dcterms:created>
  <dcterms:modified xmlns:dcterms="http://purl.org/dc/terms/" xmlns:xsi="http://www.w3.org/2001/XMLSchema-instance" xsi:type="dcterms:W3CDTF">2026-10-31T02:04:49Z</dcterms:modified>
</cp:coreProperties>
</file>