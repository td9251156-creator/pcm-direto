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Ação corretiva" sheetId="2" state="visible" r:id="rId2"/>
    <sheet xmlns:r="http://schemas.openxmlformats.org/officeDocument/2006/relationships" name="Cadastros" sheetId="3" state="visible" r:id="rId3"/>
    <sheet xmlns:r="http://schemas.openxmlformats.org/officeDocument/2006/relationships" name="Revisões" sheetId="4" state="visible" r:id="rId4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'Leia-me'!$A$1:$G$30</definedName>
    <definedName name="_xlnm.Print_Area" localSheetId="1">'Ação corretiva'!$A$1:$N$33</definedName>
    <definedName name="_xlnm.Print_Titles" localSheetId="2">'Cadastros'!$1:$3</definedName>
    <definedName name="_xlnm.Print_Area" localSheetId="2">'Cadastros'!$A$1:$J$30</definedName>
    <definedName name="_xlnm.Print_Titles" localSheetId="3">'Revisões'!$1:$3</definedName>
    <definedName name="_xlnm.Print_Area" localSheetId="3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5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b val="1"/>
      <color rgb="006B7686"/>
      <sz val="10"/>
    </font>
    <font>
      <name val="Arial"/>
      <b val="1"/>
      <color rgb="000E1726"/>
      <sz val="9"/>
    </font>
    <font>
      <name val="Arial"/>
      <b val="1"/>
      <color rgb="00FFFFFF"/>
      <sz val="8"/>
    </font>
    <font>
      <name val="Arial"/>
      <b val="1"/>
      <color rgb="006B7686"/>
      <sz val="8"/>
    </font>
    <font>
      <name val="Arial"/>
      <color rgb="000E1726"/>
      <sz val="9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EAF1FB"/>
      </patternFill>
    </fill>
    <fill>
      <patternFill patternType="solid">
        <fgColor rgb="00ECEFF3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53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top style="thin">
        <color rgb="00D3DEEC"/>
      </top>
      <bottom style="thin">
        <color rgb="00D3DEEC"/>
      </bottom>
    </border>
    <border>
      <left/>
      <right/>
      <top/>
      <bottom style="thin">
        <color rgb="00D3DEEC"/>
      </bottom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 style="thin">
        <color rgb="00D3DEEC"/>
      </left>
      <right style="thin">
        <color rgb="00D3DEEC"/>
      </right>
    </border>
    <border>
      <left style="thin">
        <color rgb="00D3DEEC"/>
      </left>
      <right/>
      <top/>
      <bottom/>
      <diagonal/>
    </border>
    <border>
      <left/>
      <right style="thin">
        <color rgb="00D3DEEC"/>
      </right>
      <top/>
      <bottom style="thin">
        <color rgb="00D3DEEC"/>
      </bottom>
    </border>
    <border>
      <left/>
      <right/>
      <top/>
      <bottom style="thin">
        <color rgb="00D3DEEC"/>
      </bottom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/>
      <bottom/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bottom style="thin">
        <color rgb="00FFFFFF"/>
      </bottom>
    </border>
    <border>
      <top style="medium">
        <color rgb="000B2A5B"/>
      </top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4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right" vertical="center"/>
    </xf>
    <xf numFmtId="0" fontId="0" fillId="0" borderId="43" pivotButton="0" quotePrefix="0" xfId="0"/>
    <xf numFmtId="0" fontId="15" fillId="0" borderId="43" applyAlignment="1" pivotButton="0" quotePrefix="0" xfId="0">
      <alignment horizontal="center" vertical="top"/>
    </xf>
    <xf numFmtId="0" fontId="15" fillId="0" borderId="43" applyAlignment="1" pivotButton="0" quotePrefix="0" xfId="0">
      <alignment horizontal="right" vertical="top"/>
    </xf>
    <xf numFmtId="0" fontId="17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4" borderId="44" applyAlignment="1" pivotButton="0" quotePrefix="0" xfId="0">
      <alignment vertical="center" indent="1"/>
    </xf>
    <xf numFmtId="0" fontId="0" fillId="4" borderId="46" pivotButton="0" quotePrefix="0" xfId="0"/>
    <xf numFmtId="0" fontId="0" fillId="4" borderId="48" applyAlignment="1" pivotButton="0" quotePrefix="0" xfId="0">
      <alignment vertical="center" indent="1"/>
    </xf>
    <xf numFmtId="0" fontId="18" fillId="4" borderId="45" applyAlignment="1" pivotButton="0" quotePrefix="0" xfId="0">
      <alignment vertical="top" wrapText="1" indent="1"/>
    </xf>
    <xf numFmtId="0" fontId="0" fillId="4" borderId="47" pivotButton="0" quotePrefix="0" xfId="0"/>
    <xf numFmtId="0" fontId="18" fillId="4" borderId="49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13" fillId="4" borderId="50" applyAlignment="1" pivotButton="0" quotePrefix="0" xfId="0">
      <alignment vertical="center" indent="1"/>
    </xf>
    <xf numFmtId="0" fontId="0" fillId="4" borderId="50" pivotButton="0" quotePrefix="0" xfId="0"/>
    <xf numFmtId="49" fontId="4" fillId="2" borderId="50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19" fillId="2" borderId="12" applyAlignment="1" pivotButton="0" quotePrefix="0" xfId="0">
      <alignment vertical="center" indent="1"/>
    </xf>
    <xf numFmtId="0" fontId="0" fillId="2" borderId="50" pivotButton="0" quotePrefix="0" xfId="0"/>
    <xf numFmtId="0" fontId="20" fillId="2" borderId="12" applyAlignment="1" pivotButton="0" quotePrefix="0" xfId="0">
      <alignment vertical="center" indent="1"/>
    </xf>
    <xf numFmtId="49" fontId="4" fillId="5" borderId="50" applyAlignment="1" pivotButton="0" quotePrefix="0" xfId="0">
      <alignment horizontal="left" vertical="center" wrapText="1" indent="1"/>
    </xf>
    <xf numFmtId="0" fontId="0" fillId="5" borderId="15" pivotButton="0" quotePrefix="0" xfId="0"/>
    <xf numFmtId="0" fontId="17" fillId="6" borderId="51" applyAlignment="1" pivotButton="0" quotePrefix="0" xfId="0">
      <alignment horizontal="center" vertical="center"/>
    </xf>
    <xf numFmtId="0" fontId="21" fillId="0" borderId="8" applyAlignment="1" pivotButton="0" quotePrefix="0" xfId="0">
      <alignment vertical="center" wrapText="1" indent="1"/>
    </xf>
    <xf numFmtId="0" fontId="7" fillId="0" borderId="8" applyAlignment="1" pivotButton="0" quotePrefix="0" xfId="0">
      <alignment vertical="center" wrapText="1" indent="1"/>
    </xf>
    <xf numFmtId="0" fontId="0" fillId="0" borderId="8" pivotButton="0" quotePrefix="0" xfId="0"/>
    <xf numFmtId="0" fontId="13" fillId="0" borderId="8" applyAlignment="1" pivotButton="0" quotePrefix="0" xfId="0">
      <alignment vertical="center" indent="1"/>
    </xf>
    <xf numFmtId="0" fontId="13" fillId="2" borderId="50" applyAlignment="1" pivotButton="0" quotePrefix="0" xfId="0">
      <alignment vertical="center" indent="1"/>
    </xf>
    <xf numFmtId="0" fontId="13" fillId="5" borderId="50" applyAlignment="1" pivotButton="0" quotePrefix="0" xfId="0">
      <alignment vertical="center" indent="1"/>
    </xf>
    <xf numFmtId="0" fontId="0" fillId="5" borderId="50" pivotButton="0" quotePrefix="0" xfId="0"/>
    <xf numFmtId="0" fontId="0" fillId="7" borderId="52" pivotButton="0" quotePrefix="0" xfId="0"/>
    <xf numFmtId="0" fontId="22" fillId="7" borderId="52" applyAlignment="1" pivotButton="0" quotePrefix="0" xfId="0">
      <alignment vertical="bottom" indent="1"/>
    </xf>
    <xf numFmtId="0" fontId="23" fillId="7" borderId="52" applyAlignment="1" pivotButton="0" quotePrefix="0" xfId="0">
      <alignment horizontal="right" vertical="bottom" indent="1"/>
    </xf>
    <xf numFmtId="0" fontId="0" fillId="7" borderId="0" pivotButton="0" quotePrefix="0" xfId="0"/>
    <xf numFmtId="0" fontId="24" fillId="7" borderId="0" applyAlignment="1" pivotButton="0" quotePrefix="0" xfId="0">
      <alignment vertical="top" wrapText="1" indent="1"/>
    </xf>
    <xf numFmtId="0" fontId="0" fillId="2" borderId="23" pivotButton="0" quotePrefix="0" xfId="0"/>
    <xf numFmtId="0" fontId="0" fillId="2" borderId="24" pivotButton="0" quotePrefix="0" xfId="0"/>
    <xf numFmtId="0" fontId="8" fillId="2" borderId="23" applyAlignment="1" pivotButton="0" quotePrefix="0" xfId="0">
      <alignment horizontal="center" vertical="center"/>
    </xf>
    <xf numFmtId="0" fontId="0" fillId="2" borderId="25" pivotButton="0" quotePrefix="0" xfId="0"/>
    <xf numFmtId="0" fontId="10" fillId="2" borderId="23" applyAlignment="1" pivotButton="0" quotePrefix="0" xfId="0">
      <alignment horizontal="center" vertical="center" shrinkToFit="1"/>
    </xf>
    <xf numFmtId="0" fontId="0" fillId="2" borderId="26" pivotButton="0" quotePrefix="0" xfId="0"/>
    <xf numFmtId="0" fontId="0" fillId="2" borderId="27" pivotButton="0" quotePrefix="0" xfId="0"/>
    <xf numFmtId="0" fontId="9" fillId="2" borderId="26" applyAlignment="1" pivotButton="0" quotePrefix="0" xfId="0">
      <alignment horizontal="center" vertical="center" wrapText="1"/>
    </xf>
    <xf numFmtId="0" fontId="0" fillId="2" borderId="28" pivotButton="0" quotePrefix="0" xfId="0"/>
    <xf numFmtId="0" fontId="1" fillId="2" borderId="1" applyAlignment="1" pivotButton="0" quotePrefix="0" xfId="0">
      <alignment horizontal="left" vertical="bottom" indent="1"/>
    </xf>
    <xf numFmtId="0" fontId="0" fillId="0" borderId="29" pivotButton="0" quotePrefix="0" xfId="0"/>
    <xf numFmtId="0" fontId="1" fillId="2" borderId="2" applyAlignment="1" pivotButton="0" quotePrefix="0" xfId="0">
      <alignment horizontal="left" vertical="bottom" indent="1"/>
    </xf>
    <xf numFmtId="0" fontId="0" fillId="2" borderId="2" pivotButton="0" quotePrefix="0" xfId="0"/>
    <xf numFmtId="0" fontId="1" fillId="2" borderId="3" applyAlignment="1" pivotButton="0" quotePrefix="0" xfId="0">
      <alignment horizontal="left" vertical="bottom" indent="1"/>
    </xf>
    <xf numFmtId="0" fontId="0" fillId="0" borderId="30" pivotButton="0" quotePrefix="0" xfId="0"/>
    <xf numFmtId="0" fontId="2" fillId="2" borderId="11" applyAlignment="1" pivotButton="0" quotePrefix="0" xfId="0">
      <alignment horizontal="left" vertical="center" wrapText="1" indent="1"/>
    </xf>
    <xf numFmtId="0" fontId="0" fillId="2" borderId="12" pivotButton="0" quotePrefix="0" xfId="0"/>
    <xf numFmtId="164" fontId="2" fillId="2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left" vertical="center" wrapText="1" indent="1"/>
    </xf>
    <xf numFmtId="0" fontId="0" fillId="2" borderId="5" pivotButton="0" quotePrefix="0" xfId="0"/>
    <xf numFmtId="0" fontId="1" fillId="2" borderId="4" applyAlignment="1" pivotButton="0" quotePrefix="0" xfId="0">
      <alignment horizontal="left" vertical="bottom" indent="1"/>
    </xf>
    <xf numFmtId="0" fontId="1" fillId="2" borderId="5" applyAlignment="1" pivotButton="0" quotePrefix="0" xfId="0">
      <alignment horizontal="left" vertical="bottom" indent="1"/>
    </xf>
    <xf numFmtId="0" fontId="1" fillId="2" borderId="6" applyAlignment="1" pivotButton="0" quotePrefix="0" xfId="0">
      <alignment horizontal="left" vertical="bottom" indent="1"/>
    </xf>
    <xf numFmtId="0" fontId="0" fillId="0" borderId="31" pivotButton="0" quotePrefix="0" xfId="0"/>
    <xf numFmtId="0" fontId="3" fillId="2" borderId="11" applyAlignment="1" pivotButton="0" quotePrefix="0" xfId="0">
      <alignment horizontal="center" vertical="center" wrapText="1"/>
    </xf>
    <xf numFmtId="0" fontId="0" fillId="2" borderId="8" pivotButton="0" quotePrefix="0" xfId="0"/>
    <xf numFmtId="0" fontId="3" fillId="2" borderId="11" applyAlignment="1" pivotButton="0" quotePrefix="0" xfId="0">
      <alignment horizontal="left" vertical="center" wrapText="1" indent="1"/>
    </xf>
    <xf numFmtId="0" fontId="0" fillId="2" borderId="0" pivotButton="0" quotePrefix="0" xfId="0"/>
    <xf numFmtId="0" fontId="0" fillId="3" borderId="18" applyAlignment="1" pivotButton="0" quotePrefix="0" xfId="0">
      <alignment horizontal="left" vertical="center" indent="1"/>
    </xf>
    <xf numFmtId="0" fontId="0" fillId="3" borderId="29" pivotButton="0" quotePrefix="0" xfId="0"/>
    <xf numFmtId="0" fontId="0" fillId="3" borderId="30" pivotButton="0" quotePrefix="0" xfId="0"/>
    <xf numFmtId="0" fontId="1" fillId="2" borderId="19" applyAlignment="1" pivotButton="0" quotePrefix="0" xfId="0">
      <alignment horizontal="left" vertical="bottom" inden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 indent="1"/>
    </xf>
    <xf numFmtId="0" fontId="0" fillId="2" borderId="3" pivotButton="0" quotePrefix="0" xfId="0"/>
    <xf numFmtId="0" fontId="6" fillId="2" borderId="7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left" vertical="center" wrapText="1" indent="1"/>
    </xf>
    <xf numFmtId="0" fontId="4" fillId="2" borderId="8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164" fontId="7" fillId="2" borderId="8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9" pivotButton="0" quotePrefix="0" xfId="0"/>
    <xf numFmtId="0" fontId="4" fillId="2" borderId="11" applyAlignment="1" pivotButton="0" quotePrefix="0" xfId="0">
      <alignment horizontal="left" vertical="center" wrapText="1" indent="1"/>
    </xf>
    <xf numFmtId="0" fontId="0" fillId="3" borderId="31" pivotButton="0" quotePrefix="0" xfId="0"/>
    <xf numFmtId="0" fontId="7" fillId="2" borderId="9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7" fillId="2" borderId="7" applyAlignment="1" pivotButton="0" quotePrefix="0" xfId="0">
      <alignment horizontal="left" vertical="center" wrapText="1" indent="1"/>
    </xf>
    <xf numFmtId="0" fontId="0" fillId="0" borderId="22" pivotButton="0" quotePrefix="0" xfId="0"/>
    <xf numFmtId="0" fontId="2" fillId="2" borderId="9" applyAlignment="1" pivotButton="0" quotePrefix="0" xfId="0">
      <alignment horizontal="center" vertical="center" wrapText="1"/>
    </xf>
    <xf numFmtId="0" fontId="11" fillId="3" borderId="32" applyAlignment="1" pivotButton="0" quotePrefix="0" xfId="0">
      <alignment horizontal="center" vertical="center" wrapText="1"/>
    </xf>
    <xf numFmtId="0" fontId="11" fillId="3" borderId="8" applyAlignment="1" pivotButton="0" quotePrefix="0" xfId="0">
      <alignment horizontal="center" vertical="center" wrapText="1"/>
    </xf>
    <xf numFmtId="0" fontId="11" fillId="3" borderId="33" applyAlignment="1" pivotButton="0" quotePrefix="0" xfId="0">
      <alignment horizontal="center" vertical="center" wrapText="1"/>
    </xf>
    <xf numFmtId="0" fontId="11" fillId="3" borderId="40" applyAlignment="1" pivotButton="0" quotePrefix="0" xfId="0">
      <alignment horizontal="center" vertical="center" wrapText="1"/>
    </xf>
    <xf numFmtId="0" fontId="12" fillId="0" borderId="0" pivotButton="0" quotePrefix="0" xfId="0"/>
    <xf numFmtId="49" fontId="13" fillId="2" borderId="34" applyAlignment="1" pivotButton="0" quotePrefix="0" xfId="0">
      <alignment horizontal="left" vertical="center" indent="1"/>
    </xf>
    <xf numFmtId="0" fontId="7" fillId="2" borderId="35" applyAlignment="1" pivotButton="0" quotePrefix="0" xfId="0">
      <alignment horizontal="left" vertical="center" indent="1"/>
    </xf>
    <xf numFmtId="0" fontId="7" fillId="2" borderId="36" applyAlignment="1" pivotButton="0" quotePrefix="0" xfId="0">
      <alignment horizontal="left" vertical="center" indent="1"/>
    </xf>
    <xf numFmtId="0" fontId="13" fillId="2" borderId="40" applyAlignment="1" pivotButton="0" quotePrefix="0" xfId="0">
      <alignment horizontal="left" vertical="center" indent="1"/>
    </xf>
    <xf numFmtId="49" fontId="13" fillId="2" borderId="37" applyAlignment="1" pivotButton="0" quotePrefix="0" xfId="0">
      <alignment horizontal="left" vertical="center" indent="1"/>
    </xf>
    <xf numFmtId="0" fontId="7" fillId="2" borderId="38" applyAlignment="1" pivotButton="0" quotePrefix="0" xfId="0">
      <alignment horizontal="left" vertical="center" indent="1"/>
    </xf>
    <xf numFmtId="0" fontId="7" fillId="2" borderId="39" applyAlignment="1" pivotButton="0" quotePrefix="0" xfId="0">
      <alignment horizontal="left" vertical="center" indent="1"/>
    </xf>
    <xf numFmtId="0" fontId="13" fillId="2" borderId="4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8" fillId="2" borderId="42" applyAlignment="1" pivotButton="0" quotePrefix="0" xfId="0">
      <alignment horizontal="center" vertical="center"/>
    </xf>
    <xf numFmtId="0" fontId="9" fillId="2" borderId="41" applyAlignment="1" pivotButton="0" quotePrefix="0" xfId="0">
      <alignment horizontal="center" vertical="center" wrapText="1"/>
    </xf>
    <xf numFmtId="49" fontId="13" fillId="2" borderId="34" applyAlignment="1" pivotButton="0" quotePrefix="0" xfId="0">
      <alignment horizontal="center" vertical="center"/>
    </xf>
    <xf numFmtId="164" fontId="7" fillId="2" borderId="35" applyAlignment="1" pivotButton="0" quotePrefix="0" xfId="0">
      <alignment horizontal="center" vertical="center"/>
    </xf>
    <xf numFmtId="0" fontId="7" fillId="2" borderId="35" applyAlignment="1" pivotButton="0" quotePrefix="0" xfId="0">
      <alignment horizontal="left" vertical="center" wrapText="1" indent="1"/>
    </xf>
    <xf numFmtId="49" fontId="13" fillId="2" borderId="37" applyAlignment="1" pivotButton="0" quotePrefix="0" xfId="0">
      <alignment horizontal="center" vertical="center"/>
    </xf>
    <xf numFmtId="164" fontId="7" fillId="2" borderId="38" applyAlignment="1" pivotButton="0" quotePrefix="0" xfId="0">
      <alignment horizontal="center" vertical="center"/>
    </xf>
    <xf numFmtId="0" fontId="7" fillId="2" borderId="38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6"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1F5AA6"/>
      </font>
      <fill>
        <patternFill patternType="solid">
          <fgColor rgb="00E1ECF6"/>
          <bgColor rgb="00E1ECF6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1E7A46"/>
      </font>
    </dxf>
    <dxf>
      <font>
        <b val="1"/>
        <color rgb="00B3261E"/>
      </font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76200</colOff>
      <row>0</row>
      <rowOff>66675</rowOff>
    </from>
    <ext cx="2009775" cy="600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2.xml><?xml version="1.0" encoding="utf-8"?>
<table xmlns="http://schemas.openxmlformats.org/spreadsheetml/2006/main" id="2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3.xml><?xml version="1.0" encoding="utf-8"?>
<table xmlns="http://schemas.openxmlformats.org/spreadsheetml/2006/main" id="3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table" Target="/xl/tables/table3.xml" Id="rId4"/><Relationship Type="http://schemas.openxmlformats.org/officeDocument/2006/relationships/table" Target="/xl/tables/table4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B1:F30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PCM-MAN-009  ·  Ação corretiva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Ação corretiva.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Ação corretiva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Conduzir uma ação corretiva do problema à prova de que a solução funcionou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PCM-MAN-009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as famílias de equipamento, os setores. Eles aparecem nas setas ▼ das outras abas.</t>
        </is>
      </c>
      <c r="E19" s="29" t="n"/>
      <c r="F19" s="29" t="n"/>
    </row>
    <row r="20" ht="34" customHeight="1">
      <c r="B20" s="26" t="n">
        <v>2</v>
      </c>
      <c r="C20" s="27" t="inlineStr">
        <is>
          <t>Ação corretiva</t>
        </is>
      </c>
      <c r="D20" s="28" t="inlineStr">
        <is>
          <t>Descreva o problema e a contenção, encontre a causa raiz, registre as ações com responsável e prazo e confirme a eficácia antes de encerrar.</t>
        </is>
      </c>
      <c r="E20" s="29" t="n"/>
      <c r="F20" s="29" t="n"/>
    </row>
    <row r="21" ht="10" customHeight="1"/>
    <row r="22" ht="24" customHeight="1">
      <c r="B22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2" s="9" t="n"/>
      <c r="D22" s="9" t="n"/>
      <c r="E22" s="9" t="n"/>
      <c r="F22" s="9" t="n"/>
    </row>
    <row r="23" ht="21" customHeight="1">
      <c r="B23" s="30" t="inlineStr">
        <is>
          <t>▼  Lista</t>
        </is>
      </c>
      <c r="C23" s="29" t="n"/>
      <c r="D23" s="28" t="inlineStr">
        <is>
          <t>Clique na célula e escolha na seta. Valor fora da lista é recusado.</t>
        </is>
      </c>
      <c r="E23" s="29" t="n"/>
      <c r="F23" s="29" t="n"/>
    </row>
    <row r="24" ht="21" customHeight="1">
      <c r="B24" s="31" t="inlineStr">
        <is>
          <t>Célula branca</t>
        </is>
      </c>
      <c r="C24" s="22" t="n"/>
      <c r="D24" s="28" t="inlineStr">
        <is>
          <t>Campo para digitar.</t>
        </is>
      </c>
      <c r="E24" s="29" t="n"/>
      <c r="F24" s="29" t="n"/>
    </row>
    <row r="25" ht="21" customHeight="1">
      <c r="B25" s="32" t="inlineStr">
        <is>
          <t>Célula cinza</t>
        </is>
      </c>
      <c r="C25" s="33" t="n"/>
      <c r="D25" s="28" t="inlineStr">
        <is>
          <t>Cálculo automático. Não digite: a fórmula preenche sozinha.</t>
        </is>
      </c>
      <c r="E25" s="29" t="n"/>
      <c r="F25" s="29" t="n"/>
    </row>
    <row r="26" ht="21" customHeight="1">
      <c r="B26" s="30" t="inlineStr">
        <is>
          <t>Datas e números</t>
        </is>
      </c>
      <c r="C26" s="29" t="n"/>
      <c r="D26" s="28" t="inlineStr">
        <is>
          <t>Datas em dd/mm/aaaa; decimais com vírgula. Vazio = sem informação; zero é valor real.</t>
        </is>
      </c>
      <c r="E26" s="29" t="n"/>
      <c r="F26" s="29" t="n"/>
    </row>
    <row r="27" ht="21" customHeight="1">
      <c r="B27" s="30" t="inlineStr">
        <is>
          <t>Impressão</t>
        </is>
      </c>
      <c r="C27" s="29" t="n"/>
      <c r="D27" s="28" t="inlineStr">
        <is>
          <t>Cada aba já está ajustada para uma folha A4. Use Arquivo &gt; Imprimir sem mudar a escala.</t>
        </is>
      </c>
      <c r="E27" s="29" t="n"/>
      <c r="F27" s="29" t="n"/>
    </row>
    <row r="28" ht="12" customHeight="1"/>
    <row r="29" ht="22" customHeight="1">
      <c r="B29" s="34" t="n"/>
      <c r="C29" s="34" t="n"/>
      <c r="D29" s="35" t="inlineStr">
        <is>
          <t>SOBRE O PCM DIRETO</t>
        </is>
      </c>
      <c r="E29" s="34" t="n"/>
      <c r="F29" s="36" t="inlineStr">
        <is>
          <t>pcmdireto.me</t>
        </is>
      </c>
    </row>
    <row r="30" ht="34" customHeight="1">
      <c r="B30" s="37" t="n"/>
      <c r="C30" s="37" t="n"/>
      <c r="D30" s="38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0" s="37" t="n"/>
      <c r="F30" s="37" t="n"/>
    </row>
  </sheetData>
  <mergeCells count="39">
    <mergeCell ref="D11:F11"/>
    <mergeCell ref="B16:C16"/>
    <mergeCell ref="D10:E10"/>
    <mergeCell ref="B7:C7"/>
    <mergeCell ref="B25:C25"/>
    <mergeCell ref="D1:E1"/>
    <mergeCell ref="D27:F27"/>
    <mergeCell ref="B22:F22"/>
    <mergeCell ref="B27:C27"/>
    <mergeCell ref="B18:F18"/>
    <mergeCell ref="B12:C12"/>
    <mergeCell ref="D2:E2"/>
    <mergeCell ref="B11:C11"/>
    <mergeCell ref="D13:E13"/>
    <mergeCell ref="D12:F12"/>
    <mergeCell ref="B23:C23"/>
    <mergeCell ref="B14:C14"/>
    <mergeCell ref="D30:F30"/>
    <mergeCell ref="D25:F25"/>
    <mergeCell ref="B1:C3"/>
    <mergeCell ref="D24:F24"/>
    <mergeCell ref="B13:C13"/>
    <mergeCell ref="D16:E16"/>
    <mergeCell ref="D23:F23"/>
    <mergeCell ref="B10:C10"/>
    <mergeCell ref="D26:F26"/>
    <mergeCell ref="D3:E3"/>
    <mergeCell ref="D20:F20"/>
    <mergeCell ref="B9:F9"/>
    <mergeCell ref="B6:C6"/>
    <mergeCell ref="D19:F19"/>
    <mergeCell ref="B24:C24"/>
    <mergeCell ref="B15:C15"/>
    <mergeCell ref="D15:E15"/>
    <mergeCell ref="D29:E29"/>
    <mergeCell ref="B5:F5"/>
    <mergeCell ref="B29:C30"/>
    <mergeCell ref="D14:E14"/>
    <mergeCell ref="B26:C26"/>
  </mergeCells>
  <hyperlinks>
    <hyperlink xmlns:r="http://schemas.openxmlformats.org/officeDocument/2006/relationships" ref="F2" r:id="rId1"/>
    <hyperlink ref="C19" location="'Cadastros'!A1" display="Cadastros"/>
    <hyperlink ref="C20" location="'Ação corretiva'!A1" display="Ação corretiva"/>
    <hyperlink xmlns:r="http://schemas.openxmlformats.org/officeDocument/2006/relationships" ref="F29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&amp;K4A5668PCM-MAN-009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N33"/>
  <sheetViews>
    <sheetView showGridLines="0" tabSelected="0" zoomScale="9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2" customWidth="1" min="7" max="7"/>
    <col width="5" customWidth="1" min="8" max="8"/>
    <col width="24" customWidth="1" min="9" max="9"/>
    <col width="12" customWidth="1" min="10" max="10"/>
    <col width="8" customWidth="1" min="11" max="11"/>
    <col width="13" customWidth="1" min="12" max="12"/>
    <col width="11" customWidth="1" min="13" max="13"/>
    <col width="14" customWidth="1" min="14" max="14"/>
  </cols>
  <sheetData>
    <row r="1" ht="30.75" customHeight="1">
      <c r="A1" s="39" t="n"/>
      <c r="B1" s="40" t="n"/>
      <c r="C1" s="41">
        <f>'Leia-me'!$D$10</f>
        <v/>
      </c>
      <c r="D1" s="42" t="n"/>
      <c r="E1" s="42" t="n"/>
      <c r="F1" s="42" t="n"/>
      <c r="G1" s="42" t="n"/>
      <c r="H1" s="42" t="n"/>
      <c r="I1" s="42" t="n"/>
      <c r="J1" s="42" t="n"/>
      <c r="K1" s="40" t="n"/>
      <c r="L1" s="43">
        <f>"Rev. "&amp;'Leia-me'!$D$15&amp;"   ·   "&amp;'Leia-me'!$D$16</f>
        <v/>
      </c>
      <c r="M1" s="42" t="n"/>
      <c r="N1" s="40" t="n"/>
    </row>
    <row r="2" ht="28" customHeight="1">
      <c r="A2" s="44" t="n"/>
      <c r="B2" s="45" t="n"/>
      <c r="C2" s="46">
        <f>"Objetivo: "&amp;'Leia-me'!$D$11</f>
        <v/>
      </c>
      <c r="D2" s="47" t="n"/>
      <c r="E2" s="47" t="n"/>
      <c r="F2" s="47" t="n"/>
      <c r="G2" s="47" t="n"/>
      <c r="H2" s="47" t="n"/>
      <c r="I2" s="47" t="n"/>
      <c r="J2" s="47" t="n"/>
      <c r="K2" s="45" t="n"/>
      <c r="L2" s="46">
        <f>"Elaborado: "&amp;'Leia-me'!$D$13&amp;"   ·   Aprovado: "&amp;'Leia-me'!$D$14</f>
        <v/>
      </c>
      <c r="M2" s="47" t="n"/>
      <c r="N2" s="45" t="n"/>
    </row>
    <row r="3" ht="21" customHeight="1">
      <c r="A3" s="48" t="inlineStr">
        <is>
          <t>Nº da ação corretiva</t>
        </is>
      </c>
      <c r="B3" s="49" t="n"/>
      <c r="C3" s="50" t="inlineStr">
        <is>
          <t>Data de abertura</t>
        </is>
      </c>
      <c r="D3" s="49" t="n"/>
      <c r="E3" s="50" t="inlineStr">
        <is>
          <t>TAG</t>
        </is>
      </c>
      <c r="F3" s="50" t="inlineStr">
        <is>
          <t>Equipamento</t>
        </is>
      </c>
      <c r="G3" s="51" t="n"/>
      <c r="H3" s="50" t="inlineStr">
        <is>
          <t>Origem</t>
        </is>
      </c>
      <c r="I3" s="49" t="n"/>
      <c r="J3" s="50" t="inlineStr">
        <is>
          <t>Aberta por</t>
        </is>
      </c>
      <c r="K3" s="49" t="n"/>
      <c r="L3" s="52" t="inlineStr">
        <is>
          <t>Prazo da resposta</t>
        </is>
      </c>
      <c r="M3" s="49" t="n"/>
      <c r="N3" s="53" t="n"/>
    </row>
    <row r="4" ht="21" customHeight="1">
      <c r="A4" s="54" t="n"/>
      <c r="B4" s="55" t="n"/>
      <c r="C4" s="56" t="n"/>
      <c r="D4" s="55" t="n"/>
      <c r="E4" s="57" t="n"/>
      <c r="F4" s="58">
        <f>IF(E4="","",IFERROR(INDEX(tb_pcm_ativos[descricao_ativo],MATCH(E4,tb_pcm_ativos[tag],0)),"fora do cadastro"))</f>
        <v/>
      </c>
      <c r="G4" s="59" t="n"/>
      <c r="H4" s="54" t="n"/>
      <c r="I4" s="55" t="n"/>
      <c r="J4" s="54" t="n"/>
      <c r="K4" s="55" t="n"/>
      <c r="L4" s="56" t="n"/>
      <c r="M4" s="20" t="n"/>
      <c r="N4" s="55" t="n"/>
    </row>
    <row r="5" ht="21" customHeight="1">
      <c r="A5" s="60" t="inlineStr">
        <is>
          <t>Situação</t>
        </is>
      </c>
      <c r="C5" s="61" t="inlineStr">
        <is>
          <t>Fechada em</t>
        </is>
      </c>
      <c r="E5" s="61" t="inlineStr">
        <is>
          <t>Dias em aberto</t>
        </is>
      </c>
      <c r="G5" s="59" t="n"/>
      <c r="H5" s="62" t="inlineStr">
        <is>
          <t>Pode fechar?</t>
        </is>
      </c>
      <c r="N5" s="63" t="n"/>
    </row>
    <row r="6" ht="21" customHeight="1">
      <c r="A6" s="57" t="n"/>
      <c r="B6" s="55" t="n"/>
      <c r="C6" s="56" t="n"/>
      <c r="D6" s="55" t="n"/>
      <c r="E6" s="64">
        <f>IF(ISNUMBER(C4),IF(ISNUMBER(C6),C6,TODAY())-C4,"")</f>
        <v/>
      </c>
      <c r="F6" s="55" t="n"/>
      <c r="G6" s="65" t="n"/>
      <c r="H6" s="66">
        <f>IF(COUNTIF(N26:N30,"Sim")=5,"Sim: todos os itens do fechamento estão certos","Ainda não: faltam "&amp;(5-COUNTIF(N26:N30,"Sim"))&amp;" de 5 itens do fechamento")</f>
        <v/>
      </c>
      <c r="I6" s="20" t="n"/>
      <c r="J6" s="20" t="n"/>
      <c r="K6" s="20" t="n"/>
      <c r="L6" s="20" t="n"/>
      <c r="M6" s="20" t="n"/>
      <c r="N6" s="55" t="n"/>
    </row>
    <row r="7" ht="8" customHeight="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</row>
    <row r="8" ht="22" customHeight="1">
      <c r="A8" s="68" t="inlineStr">
        <is>
          <r>
            <rPr>
              <rFont val="Arial"/>
              <b val="1"/>
              <color rgb="00FFFFFF"/>
              <sz val="10"/>
            </rPr>
            <t>1  Problema</t>
          </r>
          <r>
            <rPr>
              <rFont val="Arial"/>
              <color rgb="00D3DEEC"/>
              <sz val="8"/>
            </rPr>
            <t xml:space="preserve">   fatos, não causas</t>
          </r>
        </is>
      </c>
      <c r="B8" s="69" t="n"/>
      <c r="C8" s="69" t="n"/>
      <c r="D8" s="69" t="n"/>
      <c r="E8" s="69" t="n"/>
      <c r="F8" s="70" t="n"/>
      <c r="G8" s="67" t="n"/>
      <c r="H8" s="68" t="inlineStr">
        <is>
          <r>
            <rPr>
              <rFont val="Arial"/>
              <b val="1"/>
              <color rgb="00FFFFFF"/>
              <sz val="10"/>
            </rPr>
            <t>4  Ações</t>
          </r>
          <r>
            <rPr>
              <rFont val="Arial"/>
              <color rgb="00D3DEEC"/>
              <sz val="8"/>
            </rPr>
            <t xml:space="preserve">   correção, corretiva (remove a causa) e preventiva</t>
          </r>
        </is>
      </c>
      <c r="I8" s="69" t="n"/>
      <c r="J8" s="69" t="n"/>
      <c r="K8" s="69" t="n"/>
      <c r="L8" s="69" t="n"/>
      <c r="M8" s="69" t="n"/>
      <c r="N8" s="70" t="n"/>
    </row>
    <row r="9" ht="26" customHeight="1">
      <c r="A9" s="71" t="inlineStr">
        <is>
          <t>Qual requisito não foi atendido (peça, desenho, norma, procedimento)</t>
        </is>
      </c>
      <c r="F9" s="63" t="n"/>
      <c r="G9" s="67" t="n"/>
      <c r="H9" s="72" t="inlineStr">
        <is>
          <t>#</t>
        </is>
      </c>
      <c r="I9" s="73" t="inlineStr">
        <is>
          <t>Ação</t>
        </is>
      </c>
      <c r="J9" s="73" t="inlineStr">
        <is>
          <t>Tipo</t>
        </is>
      </c>
      <c r="K9" s="73" t="inlineStr">
        <is>
          <t>Causa</t>
        </is>
      </c>
      <c r="L9" s="73" t="inlineStr">
        <is>
          <t>Responsável</t>
        </is>
      </c>
      <c r="M9" s="73" t="inlineStr">
        <is>
          <t>Prazo</t>
        </is>
      </c>
      <c r="N9" s="74" t="inlineStr">
        <is>
          <t>Situação</t>
        </is>
      </c>
    </row>
    <row r="10" ht="21" customHeight="1">
      <c r="A10" s="75" t="n"/>
      <c r="B10" s="51" t="n"/>
      <c r="C10" s="51" t="n"/>
      <c r="D10" s="51" t="n"/>
      <c r="E10" s="51" t="n"/>
      <c r="F10" s="76" t="n"/>
      <c r="G10" s="67" t="n"/>
      <c r="H10" s="77" t="n">
        <v>1</v>
      </c>
      <c r="I10" s="78" t="n"/>
      <c r="J10" s="79" t="n"/>
      <c r="K10" s="80" t="n"/>
      <c r="L10" s="78" t="n"/>
      <c r="M10" s="81" t="n"/>
      <c r="N10" s="82" t="n"/>
    </row>
    <row r="11" ht="21" customHeight="1">
      <c r="A11" s="83" t="n"/>
      <c r="B11" s="65" t="n"/>
      <c r="C11" s="65" t="n"/>
      <c r="D11" s="65" t="n"/>
      <c r="E11" s="65" t="n"/>
      <c r="F11" s="84" t="n"/>
      <c r="G11" s="67" t="n"/>
      <c r="H11" s="77" t="n">
        <v>2</v>
      </c>
      <c r="I11" s="78" t="n"/>
      <c r="J11" s="79" t="n"/>
      <c r="K11" s="80" t="n"/>
      <c r="L11" s="78" t="n"/>
      <c r="M11" s="81" t="n"/>
      <c r="N11" s="82" t="n"/>
    </row>
    <row r="12" ht="21" customHeight="1">
      <c r="A12" s="71" t="inlineStr">
        <is>
          <t>Onde e como foi achado</t>
        </is>
      </c>
      <c r="F12" s="63" t="n"/>
      <c r="G12" s="67" t="n"/>
      <c r="H12" s="77" t="n">
        <v>3</v>
      </c>
      <c r="I12" s="78" t="n"/>
      <c r="J12" s="79" t="n"/>
      <c r="K12" s="80" t="n"/>
      <c r="L12" s="78" t="n"/>
      <c r="M12" s="81" t="n"/>
      <c r="N12" s="82" t="n"/>
    </row>
    <row r="13" ht="21" customHeight="1">
      <c r="A13" s="75" t="n"/>
      <c r="B13" s="51" t="n"/>
      <c r="C13" s="51" t="n"/>
      <c r="D13" s="51" t="n"/>
      <c r="E13" s="51" t="n"/>
      <c r="F13" s="76" t="n"/>
      <c r="G13" s="67" t="n"/>
      <c r="H13" s="77" t="n">
        <v>4</v>
      </c>
      <c r="I13" s="78" t="n"/>
      <c r="J13" s="79" t="n"/>
      <c r="K13" s="80" t="n"/>
      <c r="L13" s="78" t="n"/>
      <c r="M13" s="81" t="n"/>
      <c r="N13" s="82" t="n"/>
    </row>
    <row r="14" ht="21" customHeight="1">
      <c r="A14" s="83" t="n"/>
      <c r="B14" s="65" t="n"/>
      <c r="C14" s="65" t="n"/>
      <c r="D14" s="65" t="n"/>
      <c r="E14" s="65" t="n"/>
      <c r="F14" s="84" t="n"/>
      <c r="G14" s="67" t="n"/>
      <c r="H14" s="77" t="n">
        <v>5</v>
      </c>
      <c r="I14" s="78" t="n"/>
      <c r="J14" s="79" t="n"/>
      <c r="K14" s="80" t="n"/>
      <c r="L14" s="78" t="n"/>
      <c r="M14" s="81" t="n"/>
      <c r="N14" s="82" t="n"/>
    </row>
    <row r="15" ht="21" customHeight="1">
      <c r="A15" s="60" t="inlineStr">
        <is>
          <t>Quando (datas, turno)</t>
        </is>
      </c>
      <c r="D15" s="62" t="inlineStr">
        <is>
          <t>Quantos ruins, de quantos</t>
        </is>
      </c>
      <c r="F15" s="63" t="n"/>
      <c r="G15" s="67" t="n"/>
      <c r="H15" s="77" t="n">
        <v>6</v>
      </c>
      <c r="I15" s="78" t="n"/>
      <c r="J15" s="79" t="n"/>
      <c r="K15" s="80" t="n"/>
      <c r="L15" s="78" t="n"/>
      <c r="M15" s="81" t="n"/>
      <c r="N15" s="82" t="n"/>
    </row>
    <row r="16" ht="21" customHeight="1">
      <c r="A16" s="85" t="n"/>
      <c r="B16" s="20" t="n"/>
      <c r="C16" s="55" t="n"/>
      <c r="D16" s="85" t="n"/>
      <c r="E16" s="20" t="n"/>
      <c r="F16" s="55" t="n"/>
      <c r="G16" s="67" t="n"/>
      <c r="H16" s="77" t="n">
        <v>7</v>
      </c>
      <c r="I16" s="78" t="n"/>
      <c r="J16" s="79" t="n"/>
      <c r="K16" s="80" t="n"/>
      <c r="L16" s="78" t="n"/>
      <c r="M16" s="81" t="n"/>
      <c r="N16" s="82" t="n"/>
    </row>
    <row r="17" ht="8" customHeight="1">
      <c r="A17" s="67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</row>
    <row r="18" ht="22" customHeight="1">
      <c r="A18" s="68" t="inlineStr">
        <is>
          <r>
            <rPr>
              <rFont val="Arial"/>
              <b val="1"/>
              <color rgb="00FFFFFF"/>
              <sz val="10"/>
            </rPr>
            <t>2  Causas raiz</t>
          </r>
          <r>
            <rPr>
              <rFont val="Arial"/>
              <color rgb="00D3DEEC"/>
              <sz val="8"/>
            </rPr>
            <t xml:space="preserve">   por que aconteceu e por que não foi pego</t>
          </r>
        </is>
      </c>
      <c r="B18" s="69" t="n"/>
      <c r="C18" s="69" t="n"/>
      <c r="D18" s="69" t="n"/>
      <c r="E18" s="69" t="n"/>
      <c r="F18" s="70" t="n"/>
      <c r="G18" s="67" t="n"/>
      <c r="H18" s="68" t="inlineStr">
        <is>
          <r>
            <rPr>
              <rFont val="Arial"/>
              <b val="1"/>
              <color rgb="00FFFFFF"/>
              <sz val="10"/>
            </rPr>
            <t>5  Verificação de eficácia</t>
          </r>
          <r>
            <rPr>
              <rFont val="Arial"/>
              <color rgb="00D3DEEC"/>
              <sz val="8"/>
            </rPr>
            <t xml:space="preserve">   confira com dados, por tempo suficiente</t>
          </r>
        </is>
      </c>
      <c r="I18" s="69" t="n"/>
      <c r="J18" s="69" t="n"/>
      <c r="K18" s="69" t="n"/>
      <c r="L18" s="69" t="n"/>
      <c r="M18" s="69" t="n"/>
      <c r="N18" s="70" t="n"/>
    </row>
    <row r="19" ht="26" customHeight="1">
      <c r="A19" s="72" t="inlineStr">
        <is>
          <t>ID</t>
        </is>
      </c>
      <c r="B19" s="73" t="inlineStr">
        <is>
          <t>Causa</t>
        </is>
      </c>
      <c r="C19" s="73" t="inlineStr">
        <is>
          <t>Tipo</t>
        </is>
      </c>
      <c r="D19" s="73" t="inlineStr">
        <is>
          <t>Verificada?</t>
        </is>
      </c>
      <c r="E19" s="74" t="inlineStr">
        <is>
          <t>Como foi confirmada</t>
        </is>
      </c>
      <c r="F19" s="86" t="n"/>
      <c r="G19" s="67" t="n"/>
      <c r="H19" s="71" t="inlineStr">
        <is>
          <t>O que foi verificado e por quanto tempo</t>
        </is>
      </c>
      <c r="N19" s="63" t="n"/>
    </row>
    <row r="20" ht="21" customHeight="1">
      <c r="A20" s="77" t="inlineStr">
        <is>
          <t>C1</t>
        </is>
      </c>
      <c r="B20" s="78" t="n"/>
      <c r="C20" s="79" t="n"/>
      <c r="D20" s="79" t="n"/>
      <c r="E20" s="87" t="n"/>
      <c r="F20" s="88" t="n"/>
      <c r="G20" s="67" t="n"/>
      <c r="H20" s="75" t="n"/>
      <c r="I20" s="51" t="n"/>
      <c r="J20" s="51" t="n"/>
      <c r="K20" s="51" t="n"/>
      <c r="L20" s="51" t="n"/>
      <c r="M20" s="51" t="n"/>
      <c r="N20" s="76" t="n"/>
    </row>
    <row r="21" ht="21" customHeight="1">
      <c r="A21" s="77" t="inlineStr">
        <is>
          <t>C2</t>
        </is>
      </c>
      <c r="B21" s="78" t="n"/>
      <c r="C21" s="79" t="n"/>
      <c r="D21" s="79" t="n"/>
      <c r="E21" s="87" t="n"/>
      <c r="F21" s="88" t="n"/>
      <c r="G21" s="67" t="n"/>
      <c r="H21" s="83" t="n"/>
      <c r="I21" s="65" t="n"/>
      <c r="J21" s="65" t="n"/>
      <c r="K21" s="65" t="n"/>
      <c r="L21" s="65" t="n"/>
      <c r="M21" s="65" t="n"/>
      <c r="N21" s="84" t="n"/>
    </row>
    <row r="22" ht="21" customHeight="1">
      <c r="A22" s="77" t="inlineStr">
        <is>
          <t>C3</t>
        </is>
      </c>
      <c r="B22" s="78" t="n"/>
      <c r="C22" s="79" t="n"/>
      <c r="D22" s="79" t="n"/>
      <c r="E22" s="87" t="n"/>
      <c r="F22" s="88" t="n"/>
      <c r="G22" s="67" t="n"/>
      <c r="H22" s="60" t="inlineStr">
        <is>
          <t>Data da verificação</t>
        </is>
      </c>
      <c r="J22" s="61" t="inlineStr">
        <is>
          <t>Resultado</t>
        </is>
      </c>
      <c r="L22" s="62" t="inlineStr">
        <is>
          <t>Evidência (registro, gráfico)</t>
        </is>
      </c>
      <c r="N22" s="63" t="n"/>
    </row>
    <row r="23" ht="21" customHeight="1">
      <c r="A23" s="77" t="inlineStr">
        <is>
          <t>C4</t>
        </is>
      </c>
      <c r="B23" s="78" t="n"/>
      <c r="C23" s="79" t="n"/>
      <c r="D23" s="79" t="n"/>
      <c r="E23" s="87" t="n"/>
      <c r="F23" s="88" t="n"/>
      <c r="G23" s="67" t="n"/>
      <c r="H23" s="56" t="n"/>
      <c r="I23" s="55" t="n"/>
      <c r="J23" s="57" t="n"/>
      <c r="K23" s="55" t="n"/>
      <c r="L23" s="85" t="n"/>
      <c r="M23" s="20" t="n"/>
      <c r="N23" s="55" t="n"/>
    </row>
    <row r="24" ht="8" customHeight="1">
      <c r="A24" s="67" t="n"/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</row>
    <row r="25" ht="22" customHeight="1">
      <c r="A25" s="68" t="inlineStr">
        <is>
          <r>
            <rPr>
              <rFont val="Arial"/>
              <b val="1"/>
              <color rgb="00FFFFFF"/>
              <sz val="10"/>
            </rPr>
            <t>3  Contenção</t>
          </r>
          <r>
            <rPr>
              <rFont val="Arial"/>
              <color rgb="00D3DEEC"/>
              <sz val="8"/>
            </rPr>
            <t xml:space="preserve">   proteja o cliente agora</t>
          </r>
        </is>
      </c>
      <c r="B25" s="69" t="n"/>
      <c r="C25" s="69" t="n"/>
      <c r="D25" s="69" t="n"/>
      <c r="E25" s="69" t="n"/>
      <c r="F25" s="70" t="n"/>
      <c r="G25" s="67" t="n"/>
      <c r="H25" s="68" t="inlineStr">
        <is>
          <r>
            <rPr>
              <rFont val="Arial"/>
              <b val="1"/>
              <color rgb="00FFFFFF"/>
              <sz val="10"/>
            </rPr>
            <t>6  Fechamento: só feche com todos em Sim</t>
          </r>
          <r>
            <rPr>
              <rFont val="Arial"/>
              <color rgb="00D3DEEC"/>
              <sz val="8"/>
            </rPr>
            <t/>
          </r>
        </is>
      </c>
      <c r="I25" s="69" t="n"/>
      <c r="J25" s="69" t="n"/>
      <c r="K25" s="69" t="n"/>
      <c r="L25" s="69" t="n"/>
      <c r="M25" s="69" t="n"/>
      <c r="N25" s="70" t="n"/>
    </row>
    <row r="26" ht="26" customHeight="1">
      <c r="A26" s="72" t="inlineStr">
        <is>
          <t>#</t>
        </is>
      </c>
      <c r="B26" s="73" t="inlineStr">
        <is>
          <t>Ação de contenção</t>
        </is>
      </c>
      <c r="C26" s="73" t="inlineStr">
        <is>
          <t>Onde</t>
        </is>
      </c>
      <c r="D26" s="73" t="inlineStr">
        <is>
          <t>Responsável</t>
        </is>
      </c>
      <c r="E26" s="73" t="inlineStr">
        <is>
          <t>Data</t>
        </is>
      </c>
      <c r="F26" s="74" t="inlineStr">
        <is>
          <t>Feita?</t>
        </is>
      </c>
      <c r="G26" s="67" t="n"/>
      <c r="H26" s="89" t="inlineStr">
        <is>
          <t>Problema descrito com requisito e local</t>
        </is>
      </c>
      <c r="I26" s="90" t="n"/>
      <c r="J26" s="90" t="n"/>
      <c r="K26" s="90" t="n"/>
      <c r="L26" s="90" t="n"/>
      <c r="M26" s="91">
        <f>IF(AND(LEN(A10)&gt;0,LEN(A13)&gt;0),"Sim","Não")</f>
        <v/>
      </c>
      <c r="N26" s="88" t="n"/>
    </row>
    <row r="27" ht="21" customHeight="1">
      <c r="A27" s="77" t="n">
        <v>1</v>
      </c>
      <c r="B27" s="78" t="n"/>
      <c r="C27" s="78" t="n"/>
      <c r="D27" s="78" t="n"/>
      <c r="E27" s="81" t="n"/>
      <c r="F27" s="82" t="n"/>
      <c r="G27" s="67" t="n"/>
      <c r="H27" s="89" t="inlineStr">
        <is>
          <t>Contenção escrita e toda feita</t>
        </is>
      </c>
      <c r="I27" s="90" t="n"/>
      <c r="J27" s="90" t="n"/>
      <c r="K27" s="90" t="n"/>
      <c r="L27" s="90" t="n"/>
      <c r="M27" s="91">
        <f>IF(COUNTA(B27:B30)=0,"Não",IF(COUNTIF(F27:F30,"Sim")=COUNTA(B27:B30),"Sim","Não"))</f>
        <v/>
      </c>
      <c r="N27" s="88" t="n"/>
    </row>
    <row r="28" ht="21" customHeight="1">
      <c r="A28" s="77" t="n">
        <v>2</v>
      </c>
      <c r="B28" s="78" t="n"/>
      <c r="C28" s="78" t="n"/>
      <c r="D28" s="78" t="n"/>
      <c r="E28" s="81" t="n"/>
      <c r="F28" s="82" t="n"/>
      <c r="G28" s="67" t="n"/>
      <c r="H28" s="89" t="inlineStr">
        <is>
          <t>Causas verificadas (ocorrência e escape)</t>
        </is>
      </c>
      <c r="I28" s="90" t="n"/>
      <c r="J28" s="90" t="n"/>
      <c r="K28" s="90" t="n"/>
      <c r="L28" s="90" t="n"/>
      <c r="M28" s="91">
        <f>IF(COUNTA(B20:B23)=0,"Não",IF(AND(COUNTIF(D20:D23,"Sim")=COUNTA(B20:B23),COUNTIF(C20:C23,"Ocorrência")&gt;0,COUNTIF(C20:C23,"Escape")&gt;0),"Sim","Não"))</f>
        <v/>
      </c>
      <c r="N28" s="88" t="n"/>
    </row>
    <row r="29" ht="21" customHeight="1">
      <c r="A29" s="77" t="n">
        <v>3</v>
      </c>
      <c r="B29" s="78" t="n"/>
      <c r="C29" s="78" t="n"/>
      <c r="D29" s="78" t="n"/>
      <c r="E29" s="81" t="n"/>
      <c r="F29" s="82" t="n"/>
      <c r="G29" s="67" t="n"/>
      <c r="H29" s="89" t="inlineStr">
        <is>
          <t>Todas as ações concluídas</t>
        </is>
      </c>
      <c r="I29" s="90" t="n"/>
      <c r="J29" s="90" t="n"/>
      <c r="K29" s="90" t="n"/>
      <c r="L29" s="90" t="n"/>
      <c r="M29" s="91">
        <f>IF(COUNTA(I10:I16)=0,"Não",IF(COUNTIF(N10:N16,"Concluída")=COUNTA(I10:I16),"Sim","Não"))</f>
        <v/>
      </c>
      <c r="N29" s="88" t="n"/>
    </row>
    <row r="30" ht="21" customHeight="1">
      <c r="A30" s="77" t="n">
        <v>4</v>
      </c>
      <c r="B30" s="78" t="n"/>
      <c r="C30" s="78" t="n"/>
      <c r="D30" s="78" t="n"/>
      <c r="E30" s="81" t="n"/>
      <c r="F30" s="82" t="n"/>
      <c r="G30" s="67" t="n"/>
      <c r="H30" s="89" t="inlineStr">
        <is>
          <t>Verificação diz que foi eficaz</t>
        </is>
      </c>
      <c r="I30" s="90" t="n"/>
      <c r="J30" s="90" t="n"/>
      <c r="K30" s="90" t="n"/>
      <c r="L30" s="90" t="n"/>
      <c r="M30" s="91">
        <f>IF(J23="Eficaz","Sim","Não")</f>
        <v/>
      </c>
      <c r="N30" s="88" t="n"/>
    </row>
    <row r="31" ht="8" customHeight="1">
      <c r="A31" s="67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</row>
    <row r="32" ht="21" customHeight="1">
      <c r="A32" s="48" t="inlineStr">
        <is>
          <t>Responsável pela ação (nome e data)</t>
        </is>
      </c>
      <c r="B32" s="49" t="n"/>
      <c r="C32" s="49" t="n"/>
      <c r="D32" s="49" t="n"/>
      <c r="E32" s="49" t="n"/>
      <c r="F32" s="49" t="n"/>
      <c r="G32" s="51" t="n"/>
      <c r="H32" s="50" t="inlineStr">
        <is>
          <t>Qualidade ou PCM (nome e data)</t>
        </is>
      </c>
      <c r="I32" s="49" t="n"/>
      <c r="J32" s="49" t="n"/>
      <c r="K32" s="52" t="inlineStr">
        <is>
          <t>Solicitante, se exigido</t>
        </is>
      </c>
      <c r="L32" s="49" t="n"/>
      <c r="M32" s="49" t="n"/>
      <c r="N32" s="53" t="n"/>
    </row>
    <row r="33" ht="30" customHeight="1">
      <c r="A33" s="54" t="n"/>
      <c r="B33" s="20" t="n"/>
      <c r="C33" s="20" t="n"/>
      <c r="D33" s="20" t="n"/>
      <c r="E33" s="20" t="n"/>
      <c r="F33" s="55" t="n"/>
      <c r="G33" s="65" t="n"/>
      <c r="H33" s="54" t="n"/>
      <c r="I33" s="20" t="n"/>
      <c r="J33" s="55" t="n"/>
      <c r="K33" s="54" t="n"/>
      <c r="L33" s="20" t="n"/>
      <c r="M33" s="20" t="n"/>
      <c r="N33" s="55" t="n"/>
    </row>
  </sheetData>
  <mergeCells count="66">
    <mergeCell ref="H30:L30"/>
    <mergeCell ref="H19:N19"/>
    <mergeCell ref="H26:L26"/>
    <mergeCell ref="C1:K1"/>
    <mergeCell ref="C6:D6"/>
    <mergeCell ref="A10:F11"/>
    <mergeCell ref="H29:L29"/>
    <mergeCell ref="C5:D5"/>
    <mergeCell ref="L23:N23"/>
    <mergeCell ref="E5:F5"/>
    <mergeCell ref="E23:F23"/>
    <mergeCell ref="A12:F12"/>
    <mergeCell ref="H4:I4"/>
    <mergeCell ref="A18:F18"/>
    <mergeCell ref="L4:N4"/>
    <mergeCell ref="A6:B6"/>
    <mergeCell ref="D16:F16"/>
    <mergeCell ref="H18:N18"/>
    <mergeCell ref="C4:D4"/>
    <mergeCell ref="A33:F33"/>
    <mergeCell ref="H5:N5"/>
    <mergeCell ref="E20:F20"/>
    <mergeCell ref="H32:J32"/>
    <mergeCell ref="C3:D3"/>
    <mergeCell ref="H8:N8"/>
    <mergeCell ref="L1:N1"/>
    <mergeCell ref="C2:K2"/>
    <mergeCell ref="E19:F19"/>
    <mergeCell ref="L22:N22"/>
    <mergeCell ref="A32:F32"/>
    <mergeCell ref="A8:F8"/>
    <mergeCell ref="A25:F25"/>
    <mergeCell ref="K33:N33"/>
    <mergeCell ref="A3:B3"/>
    <mergeCell ref="D15:F15"/>
    <mergeCell ref="H33:J33"/>
    <mergeCell ref="M30:N30"/>
    <mergeCell ref="J4:K4"/>
    <mergeCell ref="E6:F6"/>
    <mergeCell ref="A16:C16"/>
    <mergeCell ref="A9:F9"/>
    <mergeCell ref="A5:B5"/>
    <mergeCell ref="M28:N28"/>
    <mergeCell ref="H25:N25"/>
    <mergeCell ref="M27:N27"/>
    <mergeCell ref="H6:N6"/>
    <mergeCell ref="H28:L28"/>
    <mergeCell ref="H22:I22"/>
    <mergeCell ref="A15:C15"/>
    <mergeCell ref="J22:K22"/>
    <mergeCell ref="K32:N32"/>
    <mergeCell ref="A1:B2"/>
    <mergeCell ref="L2:N2"/>
    <mergeCell ref="M26:N26"/>
    <mergeCell ref="H3:I3"/>
    <mergeCell ref="A4:B4"/>
    <mergeCell ref="H27:L27"/>
    <mergeCell ref="J3:K3"/>
    <mergeCell ref="M29:N29"/>
    <mergeCell ref="E22:F22"/>
    <mergeCell ref="H23:I23"/>
    <mergeCell ref="J23:K23"/>
    <mergeCell ref="H20:N21"/>
    <mergeCell ref="A13:F14"/>
    <mergeCell ref="L3:N3"/>
    <mergeCell ref="E21:F21"/>
  </mergeCells>
  <conditionalFormatting sqref="A6">
    <cfRule type="expression" priority="1" dxfId="0" stopIfTrue="1">
      <formula>A6="Aberta"</formula>
    </cfRule>
    <cfRule type="expression" priority="2" dxfId="1" stopIfTrue="1">
      <formula>A6="Em andamento"</formula>
    </cfRule>
    <cfRule type="expression" priority="3" dxfId="2" stopIfTrue="1">
      <formula>A6="Fechada"</formula>
    </cfRule>
  </conditionalFormatting>
  <conditionalFormatting sqref="H6">
    <cfRule type="expression" priority="4" dxfId="3" stopIfTrue="1">
      <formula>LEFT($H$6,3)="Sim"</formula>
    </cfRule>
  </conditionalFormatting>
  <conditionalFormatting sqref="D20:D23">
    <cfRule type="expression" priority="5" dxfId="2" stopIfTrue="1">
      <formula>D20="Sim"</formula>
    </cfRule>
    <cfRule type="expression" priority="6" dxfId="0" stopIfTrue="1">
      <formula>D20="Não"</formula>
    </cfRule>
  </conditionalFormatting>
  <conditionalFormatting sqref="F27:F30">
    <cfRule type="expression" priority="7" dxfId="2" stopIfTrue="1">
      <formula>F27="Sim"</formula>
    </cfRule>
    <cfRule type="expression" priority="8" dxfId="0" stopIfTrue="1">
      <formula>F27="Não"</formula>
    </cfRule>
  </conditionalFormatting>
  <conditionalFormatting sqref="N10:N16">
    <cfRule type="expression" priority="9" dxfId="0" stopIfTrue="1">
      <formula>N10="Aberta"</formula>
    </cfRule>
    <cfRule type="expression" priority="10" dxfId="1" stopIfTrue="1">
      <formula>N10="Em andamento"</formula>
    </cfRule>
    <cfRule type="expression" priority="11" dxfId="2" stopIfTrue="1">
      <formula>N10="Resolvida"</formula>
    </cfRule>
    <cfRule type="expression" priority="12" dxfId="2" stopIfTrue="1">
      <formula>N10="Concluída"</formula>
    </cfRule>
  </conditionalFormatting>
  <conditionalFormatting sqref="M10:M16">
    <cfRule type="expression" priority="13" dxfId="4" stopIfTrue="1">
      <formula>AND(ISNUMBER(M10),M10&lt;TODAY(),N10&lt;&gt;"Concluída")</formula>
    </cfRule>
  </conditionalFormatting>
  <conditionalFormatting sqref="J23">
    <cfRule type="expression" priority="14" dxfId="2" stopIfTrue="1">
      <formula>J23="Eficaz"</formula>
    </cfRule>
    <cfRule type="expression" priority="15" dxfId="5" stopIfTrue="1">
      <formula>J23="Não eficaz"</formula>
    </cfRule>
  </conditionalFormatting>
  <conditionalFormatting sqref="M26:N30">
    <cfRule type="expression" priority="16" dxfId="2" stopIfTrue="1">
      <formula>M26="Sim"</formula>
    </cfRule>
    <cfRule type="expression" priority="17" dxfId="0" stopIfTrue="1">
      <formula>M26="Não"</formula>
    </cfRule>
  </conditionalFormatting>
  <dataValidations count="19">
    <dataValidation sqref="C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C6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L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E4" showDropDown="0" showInputMessage="0" showErrorMessage="1" allowBlank="1" errorTitle="Valor fora da lista" error="Escolha um item da lista." type="list" errorStyle="stop">
      <formula1>L_TAGS</formula1>
    </dataValidation>
    <dataValidation sqref="J4" showDropDown="0" showInputMessage="0" showErrorMessage="1" allowBlank="1" errorTitle="Valor fora da lista" error="Escolha um item da lista." type="list" errorStyle="stop">
      <formula1>L_PESSOAS</formula1>
    </dataValidation>
    <dataValidation sqref="H4" showDropDown="0" showInputMessage="0" showErrorMessage="1" allowBlank="1" errorTitle="Valor fora da lista" error="Escolha um item da lista." type="list" errorStyle="stop">
      <formula1>"Auditoria,Reclamação,Falha de equipamento,Inspeção,Outra"</formula1>
    </dataValidation>
    <dataValidation sqref="A6" showDropDown="0" showInputMessage="0" showErrorMessage="1" allowBlank="1" errorTitle="Valor fora da lista" error="Escolha um item da lista." type="list" errorStyle="stop">
      <formula1>"Aberta,Em andamento,Fechada"</formula1>
    </dataValidation>
    <dataValidation sqref="C20:C23" showDropDown="0" showInputMessage="0" showErrorMessage="1" allowBlank="1" errorTitle="Valor fora da lista" error="Escolha um item da lista." type="list" errorStyle="stop">
      <formula1>"Ocorrência,Escape"</formula1>
    </dataValidation>
    <dataValidation sqref="D20:D23" showDropDown="0" showInputMessage="0" showErrorMessage="1" allowBlank="1" errorTitle="Valor fora da lista" error="Escolha um item da lista." type="list" errorStyle="stop">
      <formula1>"Sim,Não"</formula1>
    </dataValidation>
    <dataValidation sqref="F27:F30" showDropDown="0" showInputMessage="0" showErrorMessage="1" allowBlank="1" errorTitle="Valor fora da lista" error="Escolha um item da lista." type="list" errorStyle="stop">
      <formula1>"Sim,Não"</formula1>
    </dataValidation>
    <dataValidation sqref="D27:D30" showDropDown="0" showInputMessage="0" showErrorMessage="1" allowBlank="1" errorTitle="Valor fora da lista" error="Escolha um item da lista." type="list" errorStyle="stop">
      <formula1>L_PESSOAS</formula1>
    </dataValidation>
    <dataValidation sqref="E27:E30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J10:J16" showDropDown="0" showInputMessage="0" showErrorMessage="1" allowBlank="1" errorTitle="Valor fora da lista" error="Escolha um item da lista." type="list" errorStyle="stop">
      <formula1>"Correção,Corretiva,Preventiva"</formula1>
    </dataValidation>
    <dataValidation sqref="K10:K16" showDropDown="0" showInputMessage="0" showErrorMessage="1" allowBlank="1" errorTitle="Valor fora da lista" error="Escolha um item da lista." type="list" errorStyle="stop">
      <formula1>"C1,C2,C3,C4"</formula1>
    </dataValidation>
    <dataValidation sqref="N10:N16" showDropDown="0" showInputMessage="0" showErrorMessage="1" allowBlank="1" errorTitle="Valor fora da lista" error="Escolha um item da lista." type="list" errorStyle="stop">
      <formula1>"Aberta,Em andamento,Concluída"</formula1>
    </dataValidation>
    <dataValidation sqref="L10:L16" showDropDown="0" showInputMessage="0" showErrorMessage="1" allowBlank="1" errorTitle="Valor fora da lista" error="Escolha um item da lista." type="list" errorStyle="stop">
      <formula1>L_PESSOAS</formula1>
    </dataValidation>
    <dataValidation sqref="M10:M16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J23" showDropDown="0" showInputMessage="0" showErrorMessage="1" allowBlank="1" errorTitle="Valor fora da lista" error="Escolha um item da lista." type="list" errorStyle="stop">
      <formula1>"Eficaz,Não eficaz"</formula1>
    </dataValidation>
    <dataValidation sqref="H23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&amp;K4A5668PCM-MAN-009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39" t="n"/>
      <c r="B1" s="40" t="n"/>
      <c r="C1" s="41" t="inlineStr">
        <is>
          <t>Cadastros</t>
        </is>
      </c>
      <c r="D1" s="42" t="n"/>
      <c r="E1" s="42" t="n"/>
      <c r="F1" s="42" t="n"/>
      <c r="G1" s="40" t="n"/>
      <c r="H1" s="43">
        <f>"Rev. "&amp;'Leia-me'!$D$15&amp;"   ·   "&amp;'Leia-me'!$D$16</f>
        <v/>
      </c>
      <c r="I1" s="42" t="n"/>
      <c r="J1" s="40" t="n"/>
    </row>
    <row r="2" ht="28" customHeight="1">
      <c r="A2" s="44" t="n"/>
      <c r="B2" s="45" t="n"/>
      <c r="C2" s="46" t="inlineStr">
        <is>
          <t>Objetivo: Cadastre aqui os itens usados nas listas (▼) das outras abas.</t>
        </is>
      </c>
      <c r="D2" s="47" t="n"/>
      <c r="E2" s="47" t="n"/>
      <c r="F2" s="47" t="n"/>
      <c r="G2" s="45" t="n"/>
      <c r="H2" s="46">
        <f>"Elaborado: "&amp;'Leia-me'!$D$13&amp;"   ·   Aprovado: "&amp;'Leia-me'!$D$14</f>
        <v/>
      </c>
      <c r="I2" s="47" t="n"/>
      <c r="J2" s="45" t="n"/>
    </row>
    <row r="3" ht="32" customHeight="1">
      <c r="A3" s="92" t="inlineStr">
        <is>
          <t>TAG</t>
        </is>
      </c>
      <c r="B3" s="93" t="inlineStr">
        <is>
          <t>Equipamento</t>
        </is>
      </c>
      <c r="C3" s="93" t="inlineStr">
        <is>
          <t>Família de equipamento ▼</t>
        </is>
      </c>
      <c r="D3" s="94" t="inlineStr">
        <is>
          <t>Setor ▼</t>
        </is>
      </c>
      <c r="F3" s="95" t="inlineStr">
        <is>
          <t>Responsável</t>
        </is>
      </c>
      <c r="H3" s="95" t="inlineStr">
        <is>
          <t>Família de equipamento</t>
        </is>
      </c>
      <c r="J3" s="95" t="inlineStr">
        <is>
          <t>Setor</t>
        </is>
      </c>
    </row>
    <row r="4" hidden="1">
      <c r="A4" s="96" t="inlineStr">
        <is>
          <t>tag</t>
        </is>
      </c>
      <c r="B4" s="96" t="inlineStr">
        <is>
          <t>descricao_ativo</t>
        </is>
      </c>
      <c r="C4" s="96" t="inlineStr">
        <is>
          <t>familia</t>
        </is>
      </c>
      <c r="D4" s="96" t="inlineStr">
        <is>
          <t>setor</t>
        </is>
      </c>
      <c r="F4" s="96" t="inlineStr">
        <is>
          <t>nome_pessoa</t>
        </is>
      </c>
      <c r="H4" s="96" t="inlineStr">
        <is>
          <t>nome_familia</t>
        </is>
      </c>
      <c r="J4" s="96" t="inlineStr">
        <is>
          <t>nome_setor</t>
        </is>
      </c>
    </row>
    <row r="5" ht="22" customHeight="1">
      <c r="A5" s="97" t="n"/>
      <c r="B5" s="98" t="n"/>
      <c r="C5" s="98" t="n"/>
      <c r="D5" s="99" t="n"/>
      <c r="F5" s="100" t="n"/>
      <c r="H5" s="100" t="n"/>
      <c r="J5" s="100" t="n"/>
    </row>
    <row r="6" ht="22" customHeight="1">
      <c r="A6" s="97" t="n"/>
      <c r="B6" s="98" t="n"/>
      <c r="C6" s="98" t="n"/>
      <c r="D6" s="99" t="n"/>
      <c r="F6" s="100" t="n"/>
      <c r="H6" s="100" t="n"/>
      <c r="J6" s="100" t="n"/>
    </row>
    <row r="7" ht="22" customHeight="1">
      <c r="A7" s="97" t="n"/>
      <c r="B7" s="98" t="n"/>
      <c r="C7" s="98" t="n"/>
      <c r="D7" s="99" t="n"/>
      <c r="F7" s="100" t="n"/>
      <c r="H7" s="100" t="n"/>
      <c r="J7" s="100" t="n"/>
    </row>
    <row r="8" ht="22" customHeight="1">
      <c r="A8" s="97" t="n"/>
      <c r="B8" s="98" t="n"/>
      <c r="C8" s="98" t="n"/>
      <c r="D8" s="99" t="n"/>
      <c r="F8" s="100" t="n"/>
      <c r="H8" s="100" t="n"/>
      <c r="J8" s="100" t="n"/>
    </row>
    <row r="9" ht="22" customHeight="1">
      <c r="A9" s="97" t="n"/>
      <c r="B9" s="98" t="n"/>
      <c r="C9" s="98" t="n"/>
      <c r="D9" s="99" t="n"/>
      <c r="F9" s="100" t="n"/>
      <c r="H9" s="100" t="n"/>
      <c r="J9" s="100" t="n"/>
    </row>
    <row r="10" ht="22" customHeight="1">
      <c r="A10" s="97" t="n"/>
      <c r="B10" s="98" t="n"/>
      <c r="C10" s="98" t="n"/>
      <c r="D10" s="99" t="n"/>
      <c r="F10" s="100" t="n"/>
      <c r="H10" s="100" t="n"/>
      <c r="J10" s="100" t="n"/>
    </row>
    <row r="11" ht="22" customHeight="1">
      <c r="A11" s="97" t="n"/>
      <c r="B11" s="98" t="n"/>
      <c r="C11" s="98" t="n"/>
      <c r="D11" s="99" t="n"/>
      <c r="F11" s="100" t="n"/>
      <c r="H11" s="100" t="n"/>
      <c r="J11" s="100" t="n"/>
    </row>
    <row r="12" ht="22" customHeight="1">
      <c r="A12" s="97" t="n"/>
      <c r="B12" s="98" t="n"/>
      <c r="C12" s="98" t="n"/>
      <c r="D12" s="99" t="n"/>
      <c r="F12" s="100" t="n"/>
      <c r="H12" s="100" t="n"/>
      <c r="J12" s="100" t="n"/>
    </row>
    <row r="13" ht="22" customHeight="1">
      <c r="A13" s="97" t="n"/>
      <c r="B13" s="98" t="n"/>
      <c r="C13" s="98" t="n"/>
      <c r="D13" s="99" t="n"/>
      <c r="F13" s="100" t="n"/>
      <c r="H13" s="100" t="n"/>
      <c r="J13" s="100" t="n"/>
    </row>
    <row r="14" ht="22" customHeight="1">
      <c r="A14" s="97" t="n"/>
      <c r="B14" s="98" t="n"/>
      <c r="C14" s="98" t="n"/>
      <c r="D14" s="99" t="n"/>
      <c r="F14" s="100" t="n"/>
      <c r="H14" s="100" t="n"/>
      <c r="J14" s="100" t="n"/>
    </row>
    <row r="15" ht="22" customHeight="1">
      <c r="A15" s="97" t="n"/>
      <c r="B15" s="98" t="n"/>
      <c r="C15" s="98" t="n"/>
      <c r="D15" s="99" t="n"/>
      <c r="F15" s="100" t="n"/>
      <c r="H15" s="100" t="n"/>
      <c r="J15" s="100" t="n"/>
    </row>
    <row r="16" ht="22" customHeight="1">
      <c r="A16" s="97" t="n"/>
      <c r="B16" s="98" t="n"/>
      <c r="C16" s="98" t="n"/>
      <c r="D16" s="99" t="n"/>
      <c r="F16" s="100" t="n"/>
      <c r="H16" s="100" t="n"/>
      <c r="J16" s="100" t="n"/>
    </row>
    <row r="17" ht="22" customHeight="1">
      <c r="A17" s="97" t="n"/>
      <c r="B17" s="98" t="n"/>
      <c r="C17" s="98" t="n"/>
      <c r="D17" s="99" t="n"/>
      <c r="F17" s="100" t="n"/>
      <c r="H17" s="100" t="n"/>
      <c r="J17" s="100" t="n"/>
    </row>
    <row r="18" ht="22" customHeight="1">
      <c r="A18" s="97" t="n"/>
      <c r="B18" s="98" t="n"/>
      <c r="C18" s="98" t="n"/>
      <c r="D18" s="99" t="n"/>
      <c r="F18" s="100" t="n"/>
      <c r="H18" s="100" t="n"/>
      <c r="J18" s="100" t="n"/>
    </row>
    <row r="19" ht="22" customHeight="1">
      <c r="A19" s="97" t="n"/>
      <c r="B19" s="98" t="n"/>
      <c r="C19" s="98" t="n"/>
      <c r="D19" s="99" t="n"/>
      <c r="F19" s="100" t="n"/>
      <c r="H19" s="100" t="n"/>
      <c r="J19" s="100" t="n"/>
    </row>
    <row r="20" ht="22" customHeight="1">
      <c r="A20" s="97" t="n"/>
      <c r="B20" s="98" t="n"/>
      <c r="C20" s="98" t="n"/>
      <c r="D20" s="99" t="n"/>
      <c r="F20" s="100" t="n"/>
      <c r="H20" s="100" t="n"/>
      <c r="J20" s="100" t="n"/>
    </row>
    <row r="21" ht="22" customHeight="1">
      <c r="A21" s="97" t="n"/>
      <c r="B21" s="98" t="n"/>
      <c r="C21" s="98" t="n"/>
      <c r="D21" s="99" t="n"/>
      <c r="F21" s="100" t="n"/>
      <c r="H21" s="100" t="n"/>
      <c r="J21" s="100" t="n"/>
    </row>
    <row r="22" ht="22" customHeight="1">
      <c r="A22" s="97" t="n"/>
      <c r="B22" s="98" t="n"/>
      <c r="C22" s="98" t="n"/>
      <c r="D22" s="99" t="n"/>
      <c r="F22" s="100" t="n"/>
      <c r="H22" s="100" t="n"/>
      <c r="J22" s="100" t="n"/>
    </row>
    <row r="23" ht="22" customHeight="1">
      <c r="A23" s="97" t="n"/>
      <c r="B23" s="98" t="n"/>
      <c r="C23" s="98" t="n"/>
      <c r="D23" s="99" t="n"/>
      <c r="F23" s="100" t="n"/>
      <c r="H23" s="100" t="n"/>
      <c r="J23" s="100" t="n"/>
    </row>
    <row r="24" ht="22" customHeight="1">
      <c r="A24" s="97" t="n"/>
      <c r="B24" s="98" t="n"/>
      <c r="C24" s="98" t="n"/>
      <c r="D24" s="99" t="n"/>
      <c r="F24" s="100" t="n"/>
      <c r="H24" s="100" t="n"/>
      <c r="J24" s="100" t="n"/>
    </row>
    <row r="25" ht="22" customHeight="1">
      <c r="A25" s="97" t="n"/>
      <c r="B25" s="98" t="n"/>
      <c r="C25" s="98" t="n"/>
      <c r="D25" s="99" t="n"/>
      <c r="F25" s="100" t="n"/>
      <c r="H25" s="100" t="n"/>
      <c r="J25" s="100" t="n"/>
    </row>
    <row r="26" ht="22" customHeight="1">
      <c r="A26" s="97" t="n"/>
      <c r="B26" s="98" t="n"/>
      <c r="C26" s="98" t="n"/>
      <c r="D26" s="99" t="n"/>
      <c r="F26" s="100" t="n"/>
      <c r="H26" s="100" t="n"/>
      <c r="J26" s="100" t="n"/>
    </row>
    <row r="27" ht="22" customHeight="1">
      <c r="A27" s="97" t="n"/>
      <c r="B27" s="98" t="n"/>
      <c r="C27" s="98" t="n"/>
      <c r="D27" s="99" t="n"/>
      <c r="F27" s="100" t="n"/>
      <c r="H27" s="100" t="n"/>
      <c r="J27" s="100" t="n"/>
    </row>
    <row r="28" ht="22" customHeight="1">
      <c r="A28" s="97" t="n"/>
      <c r="B28" s="98" t="n"/>
      <c r="C28" s="98" t="n"/>
      <c r="D28" s="99" t="n"/>
      <c r="F28" s="100" t="n"/>
      <c r="H28" s="100" t="n"/>
      <c r="J28" s="100" t="n"/>
    </row>
    <row r="29" ht="22" customHeight="1">
      <c r="A29" s="101" t="n"/>
      <c r="B29" s="102" t="n"/>
      <c r="C29" s="102" t="n"/>
      <c r="D29" s="103" t="n"/>
      <c r="F29" s="104" t="n"/>
      <c r="H29" s="104" t="n"/>
      <c r="J29" s="104" t="n"/>
    </row>
    <row r="30" ht="20" customHeight="1">
      <c r="A30" s="105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&amp;K4A5668PCM-MAN-009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39" t="n"/>
      <c r="B1" s="40" t="n"/>
      <c r="C1" s="106" t="inlineStr">
        <is>
          <t>Revisões</t>
        </is>
      </c>
      <c r="D1" s="43">
        <f>"Rev. "&amp;'Leia-me'!$D$15&amp;"   ·   "&amp;'Leia-me'!$D$16</f>
        <v/>
      </c>
      <c r="E1" s="40" t="n"/>
    </row>
    <row r="2" ht="28" customHeight="1">
      <c r="A2" s="44" t="n"/>
      <c r="B2" s="45" t="n"/>
      <c r="C2" s="107" t="inlineStr">
        <is>
          <t>Objetivo: Registre cada alteração do modelo; a última linha alimenta Rev. e data do cabeçalho.</t>
        </is>
      </c>
      <c r="D2" s="46">
        <f>"Elaborado: "&amp;'Leia-me'!$D$13&amp;"   ·   Aprovado: "&amp;'Leia-me'!$D$14</f>
        <v/>
      </c>
      <c r="E2" s="45" t="n"/>
    </row>
    <row r="3" ht="26" customHeight="1">
      <c r="A3" s="92" t="inlineStr">
        <is>
          <t>Rev</t>
        </is>
      </c>
      <c r="B3" s="93" t="inlineStr">
        <is>
          <t>Data</t>
        </is>
      </c>
      <c r="C3" s="93" t="inlineStr">
        <is>
          <t>Descrição da alteração</t>
        </is>
      </c>
      <c r="D3" s="93" t="inlineStr">
        <is>
          <t>Elaborado por</t>
        </is>
      </c>
      <c r="E3" s="94" t="inlineStr">
        <is>
          <t>Aprovado por</t>
        </is>
      </c>
    </row>
    <row r="4" hidden="1">
      <c r="A4" s="96" t="inlineStr">
        <is>
          <t>revisao</t>
        </is>
      </c>
      <c r="B4" s="96" t="inlineStr">
        <is>
          <t>data_revisao</t>
        </is>
      </c>
      <c r="C4" s="96" t="inlineStr">
        <is>
          <t>descricao_alteracao</t>
        </is>
      </c>
      <c r="D4" s="96" t="inlineStr">
        <is>
          <t>elaborado_por</t>
        </is>
      </c>
      <c r="E4" s="96" t="inlineStr">
        <is>
          <t>aprovado_por</t>
        </is>
      </c>
    </row>
    <row r="5" ht="22" customHeight="1">
      <c r="A5" s="108" t="inlineStr">
        <is>
          <t>00</t>
        </is>
      </c>
      <c r="B5" s="109" t="n">
        <v>46325</v>
      </c>
      <c r="C5" s="110" t="inlineStr">
        <is>
          <t>Emissão inicial</t>
        </is>
      </c>
      <c r="D5" s="98" t="n"/>
      <c r="E5" s="99" t="n"/>
    </row>
    <row r="6" ht="22" customHeight="1">
      <c r="A6" s="108" t="n"/>
      <c r="B6" s="109" t="n"/>
      <c r="C6" s="110" t="n"/>
      <c r="D6" s="98" t="n"/>
      <c r="E6" s="99" t="n"/>
    </row>
    <row r="7" ht="22" customHeight="1">
      <c r="A7" s="108" t="n"/>
      <c r="B7" s="109" t="n"/>
      <c r="C7" s="110" t="n"/>
      <c r="D7" s="98" t="n"/>
      <c r="E7" s="99" t="n"/>
    </row>
    <row r="8" ht="22" customHeight="1">
      <c r="A8" s="108" t="n"/>
      <c r="B8" s="109" t="n"/>
      <c r="C8" s="110" t="n"/>
      <c r="D8" s="98" t="n"/>
      <c r="E8" s="99" t="n"/>
    </row>
    <row r="9" ht="22" customHeight="1">
      <c r="A9" s="108" t="n"/>
      <c r="B9" s="109" t="n"/>
      <c r="C9" s="110" t="n"/>
      <c r="D9" s="98" t="n"/>
      <c r="E9" s="99" t="n"/>
    </row>
    <row r="10" ht="22" customHeight="1">
      <c r="A10" s="108" t="n"/>
      <c r="B10" s="109" t="n"/>
      <c r="C10" s="110" t="n"/>
      <c r="D10" s="98" t="n"/>
      <c r="E10" s="99" t="n"/>
    </row>
    <row r="11" ht="22" customHeight="1">
      <c r="A11" s="108" t="n"/>
      <c r="B11" s="109" t="n"/>
      <c r="C11" s="110" t="n"/>
      <c r="D11" s="98" t="n"/>
      <c r="E11" s="99" t="n"/>
    </row>
    <row r="12" ht="22" customHeight="1">
      <c r="A12" s="108" t="n"/>
      <c r="B12" s="109" t="n"/>
      <c r="C12" s="110" t="n"/>
      <c r="D12" s="98" t="n"/>
      <c r="E12" s="99" t="n"/>
    </row>
    <row r="13" ht="22" customHeight="1">
      <c r="A13" s="108" t="n"/>
      <c r="B13" s="109" t="n"/>
      <c r="C13" s="110" t="n"/>
      <c r="D13" s="98" t="n"/>
      <c r="E13" s="99" t="n"/>
    </row>
    <row r="14" ht="22" customHeight="1">
      <c r="A14" s="108" t="n"/>
      <c r="B14" s="109" t="n"/>
      <c r="C14" s="110" t="n"/>
      <c r="D14" s="98" t="n"/>
      <c r="E14" s="99" t="n"/>
    </row>
    <row r="15" ht="22" customHeight="1">
      <c r="A15" s="108" t="n"/>
      <c r="B15" s="109" t="n"/>
      <c r="C15" s="110" t="n"/>
      <c r="D15" s="98" t="n"/>
      <c r="E15" s="99" t="n"/>
    </row>
    <row r="16" ht="22" customHeight="1">
      <c r="A16" s="108" t="n"/>
      <c r="B16" s="109" t="n"/>
      <c r="C16" s="110" t="n"/>
      <c r="D16" s="98" t="n"/>
      <c r="E16" s="99" t="n"/>
    </row>
    <row r="17" ht="22" customHeight="1">
      <c r="A17" s="108" t="n"/>
      <c r="B17" s="109" t="n"/>
      <c r="C17" s="110" t="n"/>
      <c r="D17" s="98" t="n"/>
      <c r="E17" s="99" t="n"/>
    </row>
    <row r="18" ht="22" customHeight="1">
      <c r="A18" s="108" t="n"/>
      <c r="B18" s="109" t="n"/>
      <c r="C18" s="110" t="n"/>
      <c r="D18" s="98" t="n"/>
      <c r="E18" s="99" t="n"/>
    </row>
    <row r="19" ht="22" customHeight="1">
      <c r="A19" s="108" t="n"/>
      <c r="B19" s="109" t="n"/>
      <c r="C19" s="110" t="n"/>
      <c r="D19" s="98" t="n"/>
      <c r="E19" s="99" t="n"/>
    </row>
    <row r="20" ht="22" customHeight="1">
      <c r="A20" s="108" t="n"/>
      <c r="B20" s="109" t="n"/>
      <c r="C20" s="110" t="n"/>
      <c r="D20" s="98" t="n"/>
      <c r="E20" s="99" t="n"/>
    </row>
    <row r="21" ht="22" customHeight="1">
      <c r="A21" s="108" t="n"/>
      <c r="B21" s="109" t="n"/>
      <c r="C21" s="110" t="n"/>
      <c r="D21" s="98" t="n"/>
      <c r="E21" s="99" t="n"/>
    </row>
    <row r="22" ht="22" customHeight="1">
      <c r="A22" s="108" t="n"/>
      <c r="B22" s="109" t="n"/>
      <c r="C22" s="110" t="n"/>
      <c r="D22" s="98" t="n"/>
      <c r="E22" s="99" t="n"/>
    </row>
    <row r="23" ht="22" customHeight="1">
      <c r="A23" s="108" t="n"/>
      <c r="B23" s="109" t="n"/>
      <c r="C23" s="110" t="n"/>
      <c r="D23" s="98" t="n"/>
      <c r="E23" s="99" t="n"/>
    </row>
    <row r="24" ht="22" customHeight="1">
      <c r="A24" s="108" t="n"/>
      <c r="B24" s="109" t="n"/>
      <c r="C24" s="110" t="n"/>
      <c r="D24" s="98" t="n"/>
      <c r="E24" s="99" t="n"/>
    </row>
    <row r="25" ht="22" customHeight="1">
      <c r="A25" s="108" t="n"/>
      <c r="B25" s="109" t="n"/>
      <c r="C25" s="110" t="n"/>
      <c r="D25" s="98" t="n"/>
      <c r="E25" s="99" t="n"/>
    </row>
    <row r="26" ht="22" customHeight="1">
      <c r="A26" s="108" t="n"/>
      <c r="B26" s="109" t="n"/>
      <c r="C26" s="110" t="n"/>
      <c r="D26" s="98" t="n"/>
      <c r="E26" s="99" t="n"/>
    </row>
    <row r="27" ht="22" customHeight="1">
      <c r="A27" s="108" t="n"/>
      <c r="B27" s="109" t="n"/>
      <c r="C27" s="110" t="n"/>
      <c r="D27" s="98" t="n"/>
      <c r="E27" s="99" t="n"/>
    </row>
    <row r="28" ht="22" customHeight="1">
      <c r="A28" s="108" t="n"/>
      <c r="B28" s="109" t="n"/>
      <c r="C28" s="110" t="n"/>
      <c r="D28" s="98" t="n"/>
      <c r="E28" s="99" t="n"/>
    </row>
    <row r="29" ht="22" customHeight="1">
      <c r="A29" s="111" t="n"/>
      <c r="B29" s="112" t="n"/>
      <c r="C29" s="113" t="n"/>
      <c r="D29" s="102" t="n"/>
      <c r="E29" s="103" t="n"/>
    </row>
    <row r="30" ht="20" customHeight="1">
      <c r="A30" s="105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&amp;K4A5668PCM-MAN-009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2026-10-31T02:28:47Z</dcterms:created>
  <dcterms:modified xmlns:dcterms="http://purl.org/dc/terms/" xmlns:xsi="http://www.w3.org/2001/XMLSchema-instance" xsi:type="dcterms:W3CDTF">2026-10-31T02:28:47Z</dcterms:modified>
</cp:coreProperties>
</file>