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lacar 5S" sheetId="2" state="visible" r:id="rId2"/>
    <sheet xmlns:r="http://schemas.openxmlformats.org/officeDocument/2006/relationships" name="Tendência e ações" sheetId="3" state="visible" r:id="rId3"/>
    <sheet xmlns:r="http://schemas.openxmlformats.org/officeDocument/2006/relationships" name="Melhoria antes e depois" sheetId="4" state="visible" r:id="rId4"/>
    <sheet xmlns:r="http://schemas.openxmlformats.org/officeDocument/2006/relationships" name="Cadastros" sheetId="5" state="visible" r:id="rId5"/>
    <sheet xmlns:r="http://schemas.openxmlformats.org/officeDocument/2006/relationships" name="Revisões" sheetId="6" state="visible" r:id="rId6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'Leia-me'!$A$1:$G$32</definedName>
    <definedName name="_xlnm.Print_Area" localSheetId="1">'Placar 5S'!$A$1:$H$38</definedName>
    <definedName name="_xlnm.Print_Area" localSheetId="2">'Tendência e ações'!$A$1:$N$37</definedName>
    <definedName name="_xlnm.Print_Area" localSheetId="3">'Melhoria antes e depois'!$A$1:$E$32</definedName>
    <definedName name="_xlnm.Print_Titles" localSheetId="4">'Cadastros'!$1:$3</definedName>
    <definedName name="_xlnm.Print_Area" localSheetId="4">'Cadastros'!$A$1:$J$30</definedName>
    <definedName name="_xlnm.Print_Titles" localSheetId="5">'Revisões'!$1:$3</definedName>
    <definedName name="_xlnm.Print_Area" localSheetId="5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6B7686"/>
      <sz val="8"/>
    </font>
    <font>
      <name val="Arial"/>
      <color rgb="000E1726"/>
      <sz val="9"/>
    </font>
    <font>
      <name val="Arial Black"/>
      <b val="1"/>
      <color rgb="000E1726"/>
      <sz val="13"/>
    </font>
    <font>
      <name val="Arial"/>
      <b val="1"/>
      <color rgb="000E1726"/>
      <sz val="9.5"/>
    </font>
    <font>
      <name val="Arial"/>
      <b val="1"/>
      <color rgb="006B7686"/>
      <sz val="9"/>
    </font>
    <font>
      <name val="Arial Black"/>
      <b val="1"/>
      <color rgb="000E1726"/>
      <sz val="22"/>
    </font>
    <font>
      <name val="Arial"/>
      <b val="1"/>
      <color rgb="000E1726"/>
      <sz val="10"/>
    </font>
    <font>
      <name val="Arial"/>
      <b val="1"/>
      <color rgb="000E1726"/>
      <sz val="9"/>
    </font>
    <font>
      <name val="Arial Black"/>
      <color rgb="000E1726"/>
      <sz val="14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6B7686"/>
      <sz val="7.5"/>
    </font>
    <font>
      <name val="Arial"/>
      <b val="1"/>
      <color rgb="00FFFFFF"/>
      <sz val="8"/>
    </font>
    <font>
      <name val="Arial"/>
      <b val="1"/>
      <color rgb="000E1726"/>
      <sz val="8"/>
    </font>
    <font>
      <name val="Arial Black"/>
      <color rgb="000B2A5B"/>
      <sz val="12"/>
    </font>
    <font>
      <name val="Arial"/>
      <b val="1"/>
      <color rgb="001E7A46"/>
      <sz val="9"/>
    </font>
    <font>
      <name val="Arial"/>
      <b val="1"/>
      <color rgb="008A5A00"/>
      <sz val="9"/>
    </font>
    <font>
      <name val="Arial"/>
      <b val="1"/>
      <color rgb="00B3261E"/>
      <sz val="9"/>
    </font>
    <font>
      <name val="Arial Black"/>
      <color rgb="000E1726"/>
      <sz val="2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2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CDEBD3"/>
      </patternFill>
    </fill>
    <fill>
      <patternFill patternType="solid">
        <fgColor rgb="00D8EFD9"/>
      </patternFill>
    </fill>
    <fill>
      <patternFill patternType="solid">
        <fgColor rgb="00E3F1D6"/>
      </patternFill>
    </fill>
    <fill>
      <patternFill patternType="solid">
        <fgColor rgb="00EEF4D3"/>
      </patternFill>
    </fill>
    <fill>
      <patternFill patternType="solid">
        <fgColor rgb="00FFF3DC"/>
      </patternFill>
    </fill>
    <fill>
      <patternFill patternType="solid">
        <fgColor rgb="00FFEDD2"/>
      </patternFill>
    </fill>
    <fill>
      <patternFill patternType="solid">
        <fgColor rgb="00FDE6CC"/>
      </patternFill>
    </fill>
    <fill>
      <patternFill patternType="solid">
        <fgColor rgb="00FCE0D8"/>
      </patternFill>
    </fill>
    <fill>
      <patternFill patternType="solid">
        <fgColor rgb="00FADAD5"/>
      </patternFill>
    </fill>
    <fill>
      <patternFill patternType="solid">
        <fgColor rgb="00F8D3CF"/>
      </patternFill>
    </fill>
    <fill>
      <patternFill patternType="solid">
        <fgColor rgb="00F5CCC8"/>
      </patternFill>
    </fill>
    <fill>
      <patternFill patternType="solid">
        <fgColor rgb="00F8D7D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72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</border>
    <border>
      <left/>
      <right/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  <right/>
      <top/>
      <bottom/>
      <diagonal/>
    </border>
    <border>
      <left style="thin">
        <color rgb="00D3DEEC"/>
      </left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D3DEEC"/>
      </left>
      <right/>
      <top/>
      <bottom style="thin">
        <color rgb="00D3DEEC"/>
      </bottom>
    </border>
    <border>
      <left/>
      <right style="thin">
        <color rgb="00D3DEEC"/>
      </right>
      <top/>
      <bottom style="thin">
        <color rgb="00D3DEEC"/>
      </bottom>
    </border>
    <border>
      <left style="thin">
        <color rgb="00D3DEEC"/>
      </left>
      <right/>
      <top/>
      <bottom/>
    </border>
    <border>
      <top style="thin">
        <color rgb="00D3DEEC"/>
      </top>
      <bottom style="thin">
        <color rgb="00D3DEEC"/>
      </bottom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  <right style="thin">
        <color rgb="00D3DEEC"/>
      </right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 style="thin">
        <color rgb="00D3DEEC"/>
      </left>
      <right/>
      <bottom/>
    </border>
    <border>
      <right style="thin">
        <color rgb="00D3DEEC"/>
      </right>
      <bottom/>
    </border>
    <border>
      <left style="thin">
        <color rgb="00D3DEEC"/>
      </left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 style="thin">
        <color rgb="00D3DEEC"/>
      </bottom>
      <diagonal/>
    </border>
    <border>
      <left/>
      <right style="thin">
        <color rgb="000B2A5B"/>
      </right>
      <top/>
      <bottom/>
      <diagonal/>
    </border>
    <border>
      <left/>
      <right/>
      <top/>
      <bottom style="thin">
        <color rgb="000B2A5B"/>
      </bottom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D3DEEC"/>
      </left>
      <right style="thin">
        <color rgb="00D3DEEC"/>
      </right>
      <bottom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right style="thin">
        <color rgb="00D3DEEC"/>
      </right>
      <top style="thin">
        <color rgb="00D3DEEC"/>
      </top>
      <bottom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 style="thin">
        <color rgb="000B2A5B"/>
      </right>
      <top/>
      <bottom/>
      <diagonal/>
    </border>
    <border>
      <left style="thin">
        <color rgb="000B2A5B"/>
      </left>
      <right style="thin">
        <color rgb="000B2A5B"/>
      </right>
      <top/>
      <bottom style="thin">
        <color rgb="000B2A5B"/>
      </bottom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24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right" vertical="center"/>
    </xf>
    <xf numFmtId="0" fontId="0" fillId="0" borderId="48" pivotButton="0" quotePrefix="0" xfId="0"/>
    <xf numFmtId="0" fontId="25" fillId="0" borderId="48" applyAlignment="1" pivotButton="0" quotePrefix="0" xfId="0">
      <alignment horizontal="center" vertical="top"/>
    </xf>
    <xf numFmtId="0" fontId="25" fillId="0" borderId="48" applyAlignment="1" pivotButton="0" quotePrefix="0" xfId="0">
      <alignment horizontal="right" vertical="top"/>
    </xf>
    <xf numFmtId="0" fontId="27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17" borderId="49" applyAlignment="1" pivotButton="0" quotePrefix="0" xfId="0">
      <alignment vertical="center" indent="1"/>
    </xf>
    <xf numFmtId="0" fontId="0" fillId="17" borderId="51" pivotButton="0" quotePrefix="0" xfId="0"/>
    <xf numFmtId="0" fontId="0" fillId="17" borderId="53" applyAlignment="1" pivotButton="0" quotePrefix="0" xfId="0">
      <alignment vertical="center" indent="1"/>
    </xf>
    <xf numFmtId="0" fontId="28" fillId="17" borderId="50" applyAlignment="1" pivotButton="0" quotePrefix="0" xfId="0">
      <alignment vertical="top" wrapText="1" indent="1"/>
    </xf>
    <xf numFmtId="0" fontId="0" fillId="17" borderId="52" pivotButton="0" quotePrefix="0" xfId="0"/>
    <xf numFmtId="0" fontId="28" fillId="17" borderId="54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23" fillId="17" borderId="36" applyAlignment="1" pivotButton="0" quotePrefix="0" xfId="0">
      <alignment vertical="center" indent="1"/>
    </xf>
    <xf numFmtId="0" fontId="0" fillId="17" borderId="36" pivotButton="0" quotePrefix="0" xfId="0"/>
    <xf numFmtId="49" fontId="9" fillId="2" borderId="36" applyAlignment="1" pivotButton="0" quotePrefix="0" xfId="0">
      <alignment horizontal="left" vertical="center" wrapText="1" indent="1"/>
    </xf>
    <xf numFmtId="0" fontId="0" fillId="2" borderId="34" pivotButton="0" quotePrefix="0" xfId="0"/>
    <xf numFmtId="0" fontId="29" fillId="2" borderId="17" applyAlignment="1" pivotButton="0" quotePrefix="0" xfId="0">
      <alignment vertical="center" indent="1"/>
    </xf>
    <xf numFmtId="0" fontId="0" fillId="2" borderId="36" pivotButton="0" quotePrefix="0" xfId="0"/>
    <xf numFmtId="0" fontId="30" fillId="2" borderId="17" applyAlignment="1" pivotButton="0" quotePrefix="0" xfId="0">
      <alignment vertical="center" indent="1"/>
    </xf>
    <xf numFmtId="49" fontId="9" fillId="4" borderId="36" applyAlignment="1" pivotButton="0" quotePrefix="0" xfId="0">
      <alignment horizontal="left" vertical="center" wrapText="1" indent="1"/>
    </xf>
    <xf numFmtId="0" fontId="0" fillId="4" borderId="34" pivotButton="0" quotePrefix="0" xfId="0"/>
    <xf numFmtId="0" fontId="27" fillId="18" borderId="55" applyAlignment="1" pivotButton="0" quotePrefix="0" xfId="0">
      <alignment horizontal="center" vertical="center"/>
    </xf>
    <xf numFmtId="0" fontId="31" fillId="0" borderId="8" applyAlignment="1" pivotButton="0" quotePrefix="0" xfId="0">
      <alignment vertical="center" wrapText="1" indent="1"/>
    </xf>
    <xf numFmtId="0" fontId="3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23" fillId="0" borderId="8" applyAlignment="1" pivotButton="0" quotePrefix="0" xfId="0">
      <alignment vertical="center" indent="1"/>
    </xf>
    <xf numFmtId="0" fontId="23" fillId="2" borderId="36" applyAlignment="1" pivotButton="0" quotePrefix="0" xfId="0">
      <alignment vertical="center" indent="1"/>
    </xf>
    <xf numFmtId="0" fontId="23" fillId="4" borderId="36" applyAlignment="1" pivotButton="0" quotePrefix="0" xfId="0">
      <alignment vertical="center" indent="1"/>
    </xf>
    <xf numFmtId="0" fontId="0" fillId="4" borderId="36" pivotButton="0" quotePrefix="0" xfId="0"/>
    <xf numFmtId="0" fontId="0" fillId="19" borderId="56" pivotButton="0" quotePrefix="0" xfId="0"/>
    <xf numFmtId="0" fontId="32" fillId="19" borderId="56" applyAlignment="1" pivotButton="0" quotePrefix="0" xfId="0">
      <alignment vertical="bottom" indent="1"/>
    </xf>
    <xf numFmtId="0" fontId="33" fillId="19" borderId="56" applyAlignment="1" pivotButton="0" quotePrefix="0" xfId="0">
      <alignment horizontal="right" vertical="bottom" indent="1"/>
    </xf>
    <xf numFmtId="0" fontId="0" fillId="19" borderId="0" pivotButton="0" quotePrefix="0" xfId="0"/>
    <xf numFmtId="0" fontId="34" fillId="19" borderId="0" applyAlignment="1" pivotButton="0" quotePrefix="0" xfId="0">
      <alignment vertical="top" wrapText="1" indent="1"/>
    </xf>
    <xf numFmtId="0" fontId="0" fillId="2" borderId="22" pivotButton="0" quotePrefix="0" xfId="0"/>
    <xf numFmtId="0" fontId="0" fillId="2" borderId="23" pivotButton="0" quotePrefix="0" xfId="0"/>
    <xf numFmtId="0" fontId="10" fillId="2" borderId="22" applyAlignment="1" pivotButton="0" quotePrefix="0" xfId="0">
      <alignment horizontal="center" vertical="center" wrapText="1"/>
    </xf>
    <xf numFmtId="0" fontId="0" fillId="2" borderId="24" pivotButton="0" quotePrefix="0" xfId="0"/>
    <xf numFmtId="0" fontId="12" fillId="2" borderId="22" applyAlignment="1" pivotButton="0" quotePrefix="0" xfId="0">
      <alignment horizontal="center" vertical="center" shrinkToFit="1"/>
    </xf>
    <xf numFmtId="0" fontId="0" fillId="2" borderId="25" pivotButton="0" quotePrefix="0" xfId="0"/>
    <xf numFmtId="0" fontId="0" fillId="2" borderId="26" pivotButton="0" quotePrefix="0" xfId="0"/>
    <xf numFmtId="0" fontId="11" fillId="2" borderId="25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3" borderId="1" applyAlignment="1" pivotButton="0" quotePrefix="0" xfId="0">
      <alignment horizontal="left" vertical="center" indent="1"/>
    </xf>
    <xf numFmtId="0" fontId="0" fillId="3" borderId="28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13" applyAlignment="1" pivotButton="0" quotePrefix="0" xfId="0">
      <alignment horizontal="left" vertical="center" indent="1"/>
    </xf>
    <xf numFmtId="0" fontId="0" fillId="3" borderId="29" pivotButton="0" quotePrefix="0" xfId="0"/>
    <xf numFmtId="0" fontId="2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4" fillId="2" borderId="9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 indent="1"/>
    </xf>
    <xf numFmtId="0" fontId="5" fillId="2" borderId="16" applyAlignment="1" pivotButton="0" quotePrefix="0" xfId="0">
      <alignment horizontal="left" vertical="center" shrinkToFit="1" indent="1"/>
    </xf>
    <xf numFmtId="0" fontId="0" fillId="2" borderId="17" pivotButton="0" quotePrefix="0" xfId="0"/>
    <xf numFmtId="164" fontId="5" fillId="2" borderId="16" applyAlignment="1" pivotButton="0" quotePrefix="0" xfId="0">
      <alignment horizontal="left" vertical="center" shrinkToFit="1" indent="1"/>
    </xf>
    <xf numFmtId="0" fontId="6" fillId="2" borderId="7" applyAlignment="1" pivotButton="0" quotePrefix="0" xfId="0">
      <alignment horizontal="left" vertical="center" wrapText="1" indent="1"/>
    </xf>
    <xf numFmtId="9" fontId="7" fillId="4" borderId="9" applyAlignment="1" pivotButton="0" quotePrefix="0" xfId="0">
      <alignment horizontal="center" vertical="center" wrapText="1"/>
    </xf>
    <xf numFmtId="0" fontId="0" fillId="4" borderId="30" pivotButton="0" quotePrefix="0" xfId="0"/>
    <xf numFmtId="0" fontId="0" fillId="0" borderId="31" pivotButton="0" quotePrefix="0" xfId="0"/>
    <xf numFmtId="0" fontId="0" fillId="4" borderId="11" pivotButton="0" quotePrefix="0" xfId="0"/>
    <xf numFmtId="0" fontId="0" fillId="4" borderId="32" pivotButton="0" quotePrefix="0" xfId="0"/>
    <xf numFmtId="0" fontId="3" fillId="2" borderId="7" applyAlignment="1" pivotButton="0" quotePrefix="0" xfId="0">
      <alignment horizontal="left" vertical="center" wrapText="1" indent="1"/>
    </xf>
    <xf numFmtId="0" fontId="8" fillId="4" borderId="8" applyAlignment="1" pivotButton="0" quotePrefix="0" xfId="0">
      <alignment horizontal="center" vertical="center" wrapText="1"/>
    </xf>
    <xf numFmtId="9" fontId="9" fillId="4" borderId="9" applyAlignment="1" pivotButton="0" quotePrefix="0" xfId="0">
      <alignment horizontal="center" vertical="center" wrapText="1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3" fillId="2" borderId="21" applyAlignment="1" pivotButton="0" quotePrefix="0" xfId="0">
      <alignment vertical="top" wrapText="1" indent="1"/>
    </xf>
    <xf numFmtId="0" fontId="0" fillId="2" borderId="30" pivotButton="0" quotePrefix="0" xfId="0"/>
    <xf numFmtId="0" fontId="0" fillId="2" borderId="33" pivotButton="0" quotePrefix="0" xfId="0"/>
    <xf numFmtId="0" fontId="0" fillId="2" borderId="31" pivotButton="0" quotePrefix="0" xfId="0"/>
    <xf numFmtId="0" fontId="0" fillId="2" borderId="11" pivotButton="0" quotePrefix="0" xfId="0"/>
    <xf numFmtId="0" fontId="0" fillId="2" borderId="32" pivotButton="0" quotePrefix="0" xfId="0"/>
    <xf numFmtId="0" fontId="0" fillId="0" borderId="0" applyAlignment="1" pivotButton="0" quotePrefix="0" xfId="0">
      <alignment horizontal="left" vertical="center" indent="1"/>
    </xf>
    <xf numFmtId="0" fontId="20" fillId="2" borderId="22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bottom" indent="1"/>
    </xf>
    <xf numFmtId="0" fontId="0" fillId="0" borderId="28" pivotButton="0" quotePrefix="0" xfId="0"/>
    <xf numFmtId="0" fontId="13" fillId="2" borderId="2" applyAlignment="1" pivotButton="0" quotePrefix="0" xfId="0">
      <alignment horizontal="left" vertical="bottom" indent="1"/>
    </xf>
    <xf numFmtId="0" fontId="13" fillId="2" borderId="3" applyAlignment="1" pivotButton="0" quotePrefix="0" xfId="0">
      <alignment horizontal="left" vertical="bottom" indent="1"/>
    </xf>
    <xf numFmtId="0" fontId="0" fillId="0" borderId="29" pivotButton="0" quotePrefix="0" xfId="0"/>
    <xf numFmtId="0" fontId="8" fillId="2" borderId="16" applyAlignment="1" pivotButton="0" quotePrefix="0" xfId="0">
      <alignment horizontal="left" vertical="center" wrapText="1" indent="1"/>
    </xf>
    <xf numFmtId="9" fontId="8" fillId="2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0" fillId="4" borderId="17" pivotButton="0" quotePrefix="0" xfId="0"/>
    <xf numFmtId="0" fontId="14" fillId="3" borderId="4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left" vertical="center" wrapText="1" indent="1"/>
    </xf>
    <xf numFmtId="165" fontId="15" fillId="2" borderId="8" applyAlignment="1" pivotButton="0" quotePrefix="0" xfId="0">
      <alignment horizontal="center" vertical="center"/>
    </xf>
    <xf numFmtId="9" fontId="2" fillId="2" borderId="4" applyAlignment="1" pivotButton="0" quotePrefix="0" xfId="0">
      <alignment horizontal="right" vertical="center" indent="1"/>
    </xf>
    <xf numFmtId="0" fontId="16" fillId="5" borderId="3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16" fillId="6" borderId="35" applyAlignment="1" pivotButton="0" quotePrefix="0" xfId="0">
      <alignment horizontal="center" vertical="center"/>
    </xf>
    <xf numFmtId="0" fontId="0" fillId="5" borderId="30" pivotButton="0" quotePrefix="0" xfId="0"/>
    <xf numFmtId="0" fontId="16" fillId="7" borderId="35" applyAlignment="1" pivotButton="0" quotePrefix="0" xfId="0">
      <alignment horizontal="center" vertical="center"/>
    </xf>
    <xf numFmtId="0" fontId="16" fillId="8" borderId="35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0" fontId="16" fillId="9" borderId="35" applyAlignment="1" pivotButton="0" quotePrefix="0" xfId="0">
      <alignment horizontal="center" vertical="center"/>
    </xf>
    <xf numFmtId="0" fontId="0" fillId="9" borderId="30" pivotButton="0" quotePrefix="0" xfId="0"/>
    <xf numFmtId="0" fontId="16" fillId="10" borderId="35" applyAlignment="1" pivotButton="0" quotePrefix="0" xfId="0">
      <alignment horizontal="center" vertical="center"/>
    </xf>
    <xf numFmtId="0" fontId="16" fillId="11" borderId="35" applyAlignment="1" pivotButton="0" quotePrefix="0" xfId="0">
      <alignment horizontal="center" vertical="center"/>
    </xf>
    <xf numFmtId="0" fontId="19" fillId="16" borderId="6" applyAlignment="1" pivotButton="0" quotePrefix="0" xfId="0">
      <alignment horizontal="center" vertical="center"/>
    </xf>
    <xf numFmtId="0" fontId="16" fillId="12" borderId="35" applyAlignment="1" pivotButton="0" quotePrefix="0" xfId="0">
      <alignment horizontal="center" vertical="center"/>
    </xf>
    <xf numFmtId="0" fontId="0" fillId="16" borderId="30" pivotButton="0" quotePrefix="0" xfId="0"/>
    <xf numFmtId="0" fontId="16" fillId="13" borderId="35" applyAlignment="1" pivotButton="0" quotePrefix="0" xfId="0">
      <alignment horizontal="center" vertical="center"/>
    </xf>
    <xf numFmtId="0" fontId="16" fillId="14" borderId="35" applyAlignment="1" pivotButton="0" quotePrefix="0" xfId="0">
      <alignment horizontal="center" vertical="center"/>
    </xf>
    <xf numFmtId="0" fontId="16" fillId="15" borderId="35" applyAlignment="1" pivotButton="0" quotePrefix="0" xfId="0">
      <alignment horizontal="center" vertical="center"/>
    </xf>
    <xf numFmtId="0" fontId="9" fillId="2" borderId="4" applyAlignment="1" pivotButton="0" quotePrefix="0" xfId="0">
      <alignment horizontal="left" vertical="center" wrapText="1" indent="1"/>
    </xf>
    <xf numFmtId="9" fontId="8" fillId="2" borderId="36" applyAlignment="1" pivotButton="0" quotePrefix="0" xfId="0">
      <alignment horizontal="center" vertical="center"/>
    </xf>
    <xf numFmtId="0" fontId="0" fillId="4" borderId="8" pivotButton="0" quotePrefix="0" xfId="0"/>
    <xf numFmtId="0" fontId="2" fillId="4" borderId="8" applyAlignment="1" pivotButton="0" quotePrefix="0" xfId="0">
      <alignment horizontal="center" vertical="center"/>
    </xf>
    <xf numFmtId="164" fontId="3" fillId="2" borderId="7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left" vertical="center" wrapText="1" indent="1"/>
    </xf>
    <xf numFmtId="164" fontId="3" fillId="2" borderId="8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164" fontId="3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indent="1"/>
    </xf>
    <xf numFmtId="0" fontId="0" fillId="2" borderId="68" pivotButton="0" quotePrefix="0" xfId="0"/>
    <xf numFmtId="0" fontId="10" fillId="2" borderId="38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12" fillId="2" borderId="38" applyAlignment="1" pivotButton="0" quotePrefix="0" xfId="0">
      <alignment horizontal="center" vertical="center" shrinkToFit="1"/>
    </xf>
    <xf numFmtId="0" fontId="0" fillId="0" borderId="71" pivotButton="0" quotePrefix="0" xfId="0"/>
    <xf numFmtId="0" fontId="11" fillId="2" borderId="39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3" fillId="2" borderId="67" applyAlignment="1" pivotButton="0" quotePrefix="0" xfId="0">
      <alignment horizontal="left" vertical="bottom" indent="1"/>
    </xf>
    <xf numFmtId="0" fontId="0" fillId="0" borderId="14" pivotButton="0" quotePrefix="0" xfId="0"/>
    <xf numFmtId="0" fontId="8" fillId="2" borderId="36" applyAlignment="1" pivotButton="0" quotePrefix="0" xfId="0">
      <alignment horizontal="center" vertical="center" wrapText="1"/>
    </xf>
    <xf numFmtId="0" fontId="8" fillId="2" borderId="36" applyAlignment="1" pivotButton="0" quotePrefix="0" xfId="0">
      <alignment horizontal="left" vertical="center" wrapText="1" indent="1"/>
    </xf>
    <xf numFmtId="0" fontId="9" fillId="4" borderId="36" applyAlignment="1" pivotButton="0" quotePrefix="0" xfId="0">
      <alignment horizontal="left" vertical="center" wrapText="1" indent="1"/>
    </xf>
    <xf numFmtId="0" fontId="0" fillId="0" borderId="60" pivotButton="0" quotePrefix="0" xfId="0"/>
    <xf numFmtId="0" fontId="0" fillId="3" borderId="59" applyAlignment="1" pivotButton="0" quotePrefix="0" xfId="0">
      <alignment horizontal="left" vertical="center" indent="1"/>
    </xf>
    <xf numFmtId="0" fontId="0" fillId="0" borderId="10" pivotButton="0" quotePrefix="0" xfId="0"/>
    <xf numFmtId="0" fontId="13" fillId="2" borderId="64" applyAlignment="1" pivotButton="0" quotePrefix="0" xfId="0">
      <alignment horizontal="left" vertical="bottom" indent="1"/>
    </xf>
    <xf numFmtId="0" fontId="0" fillId="0" borderId="15" pivotButton="0" quotePrefix="0" xfId="0"/>
    <xf numFmtId="0" fontId="8" fillId="2" borderId="36" applyAlignment="1" pivotButton="0" quotePrefix="0" xfId="0">
      <alignment horizontal="left" vertical="top" wrapText="1" indent="1"/>
    </xf>
    <xf numFmtId="0" fontId="0" fillId="0" borderId="19" pivotButton="0" quotePrefix="0" xfId="0"/>
    <xf numFmtId="0" fontId="0" fillId="0" borderId="12" pivotButton="0" quotePrefix="0" xfId="0"/>
    <xf numFmtId="0" fontId="0" fillId="0" borderId="20" pivotButton="0" quotePrefix="0" xfId="0"/>
    <xf numFmtId="0" fontId="13" fillId="2" borderId="57" applyAlignment="1" pivotButton="0" quotePrefix="0" xfId="0">
      <alignment horizontal="left" vertical="bottom" indent="1"/>
    </xf>
    <xf numFmtId="0" fontId="13" fillId="2" borderId="58" applyAlignment="1" pivotButton="0" quotePrefix="0" xfId="0">
      <alignment horizontal="left" vertical="bottom" indent="1"/>
    </xf>
    <xf numFmtId="0" fontId="14" fillId="3" borderId="57" applyAlignment="1" pivotButton="0" quotePrefix="0" xfId="0">
      <alignment horizontal="center" vertical="center" wrapText="1"/>
    </xf>
    <xf numFmtId="0" fontId="14" fillId="3" borderId="5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2" borderId="38" pivotButton="0" quotePrefix="0" xfId="0"/>
    <xf numFmtId="0" fontId="0" fillId="2" borderId="39" pivotButton="0" quotePrefix="0" xfId="0"/>
    <xf numFmtId="0" fontId="21" fillId="3" borderId="40" applyAlignment="1" pivotButton="0" quotePrefix="0" xfId="0">
      <alignment horizontal="center" vertical="center" wrapText="1"/>
    </xf>
    <xf numFmtId="0" fontId="21" fillId="3" borderId="41" applyAlignment="1" pivotButton="0" quotePrefix="0" xfId="0">
      <alignment horizontal="center" vertical="center" wrapText="1"/>
    </xf>
    <xf numFmtId="0" fontId="21" fillId="3" borderId="8" applyAlignment="1" pivotButton="0" quotePrefix="0" xfId="0">
      <alignment horizontal="center" vertical="center" wrapText="1"/>
    </xf>
    <xf numFmtId="0" fontId="21" fillId="3" borderId="42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2" borderId="40" applyAlignment="1" pivotButton="0" quotePrefix="0" xfId="0">
      <alignment horizontal="left" vertical="center" indent="1"/>
    </xf>
    <xf numFmtId="49" fontId="23" fillId="2" borderId="43" applyAlignment="1" pivotButton="0" quotePrefix="0" xfId="0">
      <alignment horizontal="left" vertical="center" indent="1"/>
    </xf>
    <xf numFmtId="0" fontId="3" fillId="2" borderId="21" applyAlignment="1" pivotButton="0" quotePrefix="0" xfId="0">
      <alignment horizontal="left" vertical="center" indent="1"/>
    </xf>
    <xf numFmtId="0" fontId="3" fillId="2" borderId="44" applyAlignment="1" pivotButton="0" quotePrefix="0" xfId="0">
      <alignment horizontal="left" vertical="center" indent="1"/>
    </xf>
    <xf numFmtId="0" fontId="23" fillId="2" borderId="39" applyAlignment="1" pivotButton="0" quotePrefix="0" xfId="0">
      <alignment horizontal="left" vertical="center" indent="1"/>
    </xf>
    <xf numFmtId="49" fontId="23" fillId="2" borderId="45" applyAlignment="1" pivotButton="0" quotePrefix="0" xfId="0">
      <alignment horizontal="left" vertical="center" indent="1"/>
    </xf>
    <xf numFmtId="0" fontId="3" fillId="2" borderId="46" applyAlignment="1" pivotButton="0" quotePrefix="0" xfId="0">
      <alignment horizontal="left" vertical="center" indent="1"/>
    </xf>
    <xf numFmtId="0" fontId="3" fillId="2" borderId="47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20" fillId="2" borderId="38" applyAlignment="1" pivotButton="0" quotePrefix="0" xfId="0">
      <alignment horizontal="center" vertical="center"/>
    </xf>
    <xf numFmtId="49" fontId="23" fillId="2" borderId="43" applyAlignment="1" pivotButton="0" quotePrefix="0" xfId="0">
      <alignment horizontal="center" vertical="center"/>
    </xf>
    <xf numFmtId="164" fontId="3" fillId="2" borderId="21" applyAlignment="1" pivotButton="0" quotePrefix="0" xfId="0">
      <alignment horizontal="center" vertical="center"/>
    </xf>
    <xf numFmtId="0" fontId="3" fillId="2" borderId="21" applyAlignment="1" pivotButton="0" quotePrefix="0" xfId="0">
      <alignment horizontal="left" vertical="center" wrapText="1" indent="1"/>
    </xf>
    <xf numFmtId="49" fontId="23" fillId="2" borderId="45" applyAlignment="1" pivotButton="0" quotePrefix="0" xfId="0">
      <alignment horizontal="center" vertical="center"/>
    </xf>
    <xf numFmtId="164" fontId="3" fillId="2" borderId="46" applyAlignment="1" pivotButton="0" quotePrefix="0" xfId="0">
      <alignment horizontal="center" vertical="center"/>
    </xf>
    <xf numFmtId="0" fontId="3" fillId="2" borderId="46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9">
    <dxf>
      <font>
        <b val="1"/>
        <color rgb="00B3261E"/>
      </font>
      <fill>
        <patternFill patternType="solid">
          <fgColor rgb="00F8D7D3"/>
          <bgColor rgb="00F8D7D3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4F7F1F"/>
      </font>
      <fill>
        <patternFill patternType="solid">
          <fgColor rgb="00E3F1D6"/>
          <bgColor rgb="00E3F1D6"/>
        </patternFill>
      </fill>
    </dxf>
    <dxf>
      <font>
        <b val="1"/>
        <color rgb="001E7A46"/>
      </font>
      <fill>
        <patternFill patternType="solid">
          <fgColor rgb="00CDEBD3"/>
          <bgColor rgb="00CDEBD3"/>
        </patternFill>
      </fill>
    </dxf>
    <dxf>
      <font>
        <b val="1"/>
        <color rgb="00FFFFFF"/>
      </font>
      <fill>
        <patternFill patternType="solid">
          <fgColor rgb="000B2A5B"/>
          <bgColor rgb="000B2A5B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radarChart>
        <radarStyle val="marker"/>
        <ser>
          <idx val="0"/>
          <order val="0"/>
          <spPr>
            <a:ln xmlns:a="http://schemas.openxmlformats.org/drawingml/2006/main" w="28000">
              <a:solidFill>
                <a:srgbClr val="1F5AA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5AA6"/>
              </a:solidFill>
              <a:ln xmlns:a="http://schemas.openxmlformats.org/drawingml/2006/main">
                <a:solidFill>
                  <a:srgbClr val="1F5AA6"/>
                </a:solidFill>
                <a:prstDash val="solid"/>
              </a:ln>
            </spPr>
          </marker>
          <cat>
            <numRef>
              <f>'Placar 5S'!$F$11:$F$15</f>
            </numRef>
          </cat>
          <val>
            <numRef>
              <f>'Placar 5S'!$H$11:$H$15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majorUnit val="0.5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Responsável.</t>
      </text>
    </comment>
    <comment ref="C3" authorId="0" shapeId="0">
      <text>
        <t>Setor.</t>
      </text>
    </comment>
    <comment ref="E3" authorId="0" shapeId="0">
      <text>
        <t>TAG. Digite como texto (preserva zeros à esquerda). Exemplo: 00123.</t>
      </text>
    </comment>
    <comment ref="F3" authorId="0" shapeId="0">
      <text>
        <t>Equipamento.</t>
      </text>
    </comment>
    <comment ref="G3" authorId="0" shapeId="0">
      <text>
        <t>Família de equipamento. Escolha na lista (preencha antes a aba Cadastros).</t>
      </text>
    </comment>
    <comment ref="H3" authorId="0" shapeId="0">
      <text>
        <t>Setor. Escolha na lista (preencha antes a aba Cadastros).</t>
      </text>
    </comment>
    <comment ref="J3" authorId="0" shapeId="0">
      <text>
        <t>Família de equipamento.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17</row>
      <rowOff>0</rowOff>
    </from>
    <ext cx="2701523" cy="320628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76200</colOff>
      <row>0</row>
      <rowOff>238125</rowOff>
    </from>
    <ext cx="17430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104775</rowOff>
    </from>
    <ext cx="17430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180975</rowOff>
    </from>
    <ext cx="1362075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85725</rowOff>
    </from>
    <ext cx="1895475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pessoas" displayName="tb_pcm_pessoas" ref="A4:A29" headerRowCount="1">
  <autoFilter ref="A4:A29"/>
  <tableColumns count="1">
    <tableColumn id="1" name="nome_pessoa"/>
  </tableColumns>
  <tableStyleInfo name="TableStyleLight1" showRowStripes="0"/>
</table>
</file>

<file path=xl/tables/table2.xml><?xml version="1.0" encoding="utf-8"?>
<table xmlns="http://schemas.openxmlformats.org/spreadsheetml/2006/main" id="2" name="tb_pcm_setores" displayName="tb_pcm_setores" ref="C4:C29" headerRowCount="1">
  <autoFilter ref="C4:C29"/>
  <tableColumns count="1">
    <tableColumn id="3" name="nome_setor"/>
  </tableColumns>
  <tableStyleInfo name="TableStyleLight1" showRowStripes="0"/>
</table>
</file>

<file path=xl/tables/table3.xml><?xml version="1.0" encoding="utf-8"?>
<table xmlns="http://schemas.openxmlformats.org/spreadsheetml/2006/main" id="3" name="tb_pcm_ativos" displayName="tb_pcm_ativos" ref="E4:H29" headerRowCount="1">
  <autoFilter ref="E4:H29"/>
  <tableColumns count="4">
    <tableColumn id="5" name="tag"/>
    <tableColumn id="6" name="descricao_ativo"/>
    <tableColumn id="7" name="familia"/>
    <tableColumn id="8" name="setor"/>
  </tableColumns>
  <tableStyleInfo name="TableStyleLight1" showRowStripes="0"/>
</table>
</file>

<file path=xl/tables/table4.xml><?xml version="1.0" encoding="utf-8"?>
<table xmlns="http://schemas.openxmlformats.org/spreadsheetml/2006/main" id="4" name="tb_pcm_familias" displayName="tb_pcm_familias" ref="J4:J29" headerRowCount="1">
  <autoFilter ref="J4:J29"/>
  <tableColumns count="1">
    <tableColumn id="10" name="nome_familia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PCM-MAN-015  ·  Auditoria 5S e melhorias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Placar 5S.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Auditoria 5S e melhorias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Auditar o 5S por senso, acompanhar a tendência e as ações e mostrar as melhorias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PCM-MAN-015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as pessoas, os setores, TAG, equipamento, família e setor, as famílias de equipamento.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Placar 5S</t>
        </is>
      </c>
      <c r="D20" s="28" t="inlineStr">
        <is>
          <t>Preencha área, data e auditor e dê nota de 1 a 5 nos 25 itens. Nota geral, por senso e radar saem sozinhos.</t>
        </is>
      </c>
      <c r="E20" s="29" t="n"/>
      <c r="F20" s="29" t="n"/>
    </row>
    <row r="21" ht="22" customHeight="1">
      <c r="B21" s="26" t="n">
        <v>3</v>
      </c>
      <c r="C21" s="27" t="inlineStr">
        <is>
          <t>Tendência e ações</t>
        </is>
      </c>
      <c r="D21" s="28" t="inlineStr">
        <is>
          <t>Lance a data e a nota geral de cada auditoria e registre as ações com responsável e prazo.</t>
        </is>
      </c>
      <c r="E21" s="29" t="n"/>
      <c r="F21" s="29" t="n"/>
    </row>
    <row r="22" ht="34" customHeight="1">
      <c r="B22" s="26" t="n">
        <v>4</v>
      </c>
      <c r="C22" s="27" t="inlineStr">
        <is>
          <t>Melhoria antes e depois</t>
        </is>
      </c>
      <c r="D22" s="28" t="inlineStr">
        <is>
          <t>Mostre a melhoria com foto do antes e do depois, o que foi feito e o ganho.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0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1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2" t="inlineStr">
        <is>
          <t>Célula cinza</t>
        </is>
      </c>
      <c r="C27" s="33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0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0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4" t="n"/>
      <c r="C31" s="34" t="n"/>
      <c r="D31" s="35" t="inlineStr">
        <is>
          <t>SOBRE O PCM DIRETO</t>
        </is>
      </c>
      <c r="E31" s="34" t="n"/>
      <c r="F31" s="36" t="inlineStr">
        <is>
          <t>pcmdireto.me</t>
        </is>
      </c>
    </row>
    <row r="32" ht="34" customHeight="1">
      <c r="B32" s="37" t="n"/>
      <c r="C32" s="37" t="n"/>
      <c r="D32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7" t="n"/>
      <c r="F32" s="37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Placar 5S'!A1" display="Placar 5S"/>
    <hyperlink ref="C21" location="'Tendência e ações'!A1" display="Tendência e ações"/>
    <hyperlink ref="C22" location="'Melhoria antes e depois'!A1" display="Melhoria antes e depois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H38"/>
  <sheetViews>
    <sheetView showGridLines="0" tabSelected="0" zoomScale="9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9" customWidth="1" min="4" max="4"/>
    <col width="2" customWidth="1" min="5" max="5"/>
    <col width="17" customWidth="1" min="6" max="6"/>
    <col width="10" customWidth="1" min="7" max="7"/>
    <col width="13" customWidth="1" min="8" max="8"/>
  </cols>
  <sheetData>
    <row r="1" ht="48" customHeight="1">
      <c r="A1" s="39" t="n"/>
      <c r="B1" s="40" t="n"/>
      <c r="C1" s="41">
        <f>'Leia-me'!$D$10</f>
        <v/>
      </c>
      <c r="D1" s="42" t="n"/>
      <c r="E1" s="40" t="n"/>
      <c r="F1" s="43">
        <f>"Rev. "&amp;'Leia-me'!$D$15&amp;"   ·   "&amp;'Leia-me'!$D$16</f>
        <v/>
      </c>
      <c r="G1" s="42" t="n"/>
      <c r="H1" s="40" t="n"/>
    </row>
    <row r="2" ht="31" customHeight="1">
      <c r="A2" s="44" t="n"/>
      <c r="B2" s="45" t="n"/>
      <c r="C2" s="46">
        <f>"Objetivo: "&amp;'Leia-me'!$D$11</f>
        <v/>
      </c>
      <c r="D2" s="47" t="n"/>
      <c r="E2" s="45" t="n"/>
      <c r="F2" s="46">
        <f>"Elaborado: "&amp;'Leia-me'!$D$13&amp;"   ·   Aprovado: "&amp;'Leia-me'!$D$14</f>
        <v/>
      </c>
      <c r="G2" s="47" t="n"/>
      <c r="H2" s="45" t="n"/>
    </row>
    <row r="3" ht="22" customHeight="1">
      <c r="A3" s="48" t="inlineStr">
        <is>
          <r>
            <rPr>
              <rFont val="Arial"/>
              <b val="1"/>
              <color rgb="00FFFFFF"/>
              <sz val="10"/>
            </rPr>
            <t>1  Utilização</t>
          </r>
          <r>
            <rPr>
              <rFont val="Arial"/>
              <color rgb="00D3DEEC"/>
              <sz val="8"/>
            </rPr>
            <t xml:space="preserve">   Seiri</t>
          </r>
        </is>
      </c>
      <c r="B3" s="49" t="n"/>
      <c r="C3" s="49" t="n"/>
      <c r="D3" s="50">
        <f>IF(COUNT(D4:D8)=0,"",SUM(D4:D8)&amp;" / "&amp;COUNT(D4:D8)*5)</f>
        <v/>
      </c>
      <c r="E3" s="51" t="n"/>
      <c r="F3" s="52" t="inlineStr">
        <is>
          <r>
            <rPr>
              <rFont val="Arial"/>
              <b val="1"/>
              <color rgb="00FFFFFF"/>
              <sz val="10"/>
            </rPr>
            <t>Auditoria</t>
          </r>
          <r>
            <rPr>
              <rFont val="Arial"/>
              <color rgb="00D3DEEC"/>
              <sz val="8"/>
            </rPr>
            <t/>
          </r>
        </is>
      </c>
      <c r="G3" s="49" t="n"/>
      <c r="H3" s="53" t="n"/>
    </row>
    <row r="4" ht="23" customHeight="1">
      <c r="A4" s="54" t="n">
        <v>1</v>
      </c>
      <c r="B4" s="55" t="inlineStr">
        <is>
          <t>Só há na área o que é necessário para o trabalho atual</t>
        </is>
      </c>
      <c r="C4" s="56" t="n"/>
      <c r="D4" s="57" t="n"/>
      <c r="E4" s="51" t="n"/>
      <c r="F4" s="58" t="inlineStr">
        <is>
          <t>Área ou TAG ▼</t>
        </is>
      </c>
      <c r="G4" s="59" t="n"/>
      <c r="H4" s="60" t="n"/>
    </row>
    <row r="5" ht="23" customHeight="1">
      <c r="A5" s="54" t="n">
        <v>2</v>
      </c>
      <c r="B5" s="55" t="inlineStr">
        <is>
          <t>Itens desnecessários estão com etiqueta vermelha ou foram retirados</t>
        </is>
      </c>
      <c r="C5" s="56" t="n"/>
      <c r="D5" s="57" t="n"/>
      <c r="E5" s="51" t="n"/>
      <c r="F5" s="58" t="inlineStr">
        <is>
          <t>Data</t>
        </is>
      </c>
      <c r="G5" s="61" t="n"/>
      <c r="H5" s="60" t="n"/>
    </row>
    <row r="6" ht="23" customHeight="1">
      <c r="A6" s="54" t="n">
        <v>3</v>
      </c>
      <c r="B6" s="55" t="inlineStr">
        <is>
          <t>Não há ferramentas, peças ou equipamentos sem uso no piso e nas bancadas</t>
        </is>
      </c>
      <c r="C6" s="56" t="n"/>
      <c r="D6" s="57" t="n"/>
      <c r="E6" s="51" t="n"/>
      <c r="F6" s="58" t="inlineStr">
        <is>
          <t>Auditor ▼</t>
        </is>
      </c>
      <c r="G6" s="59" t="n"/>
      <c r="H6" s="60" t="n"/>
    </row>
    <row r="7" ht="23" customHeight="1">
      <c r="A7" s="54" t="n">
        <v>4</v>
      </c>
      <c r="B7" s="55" t="inlineStr">
        <is>
          <t>Corredores, saídas e equipamentos de segurança estão livres</t>
        </is>
      </c>
      <c r="C7" s="56" t="n"/>
      <c r="D7" s="57" t="n"/>
      <c r="E7" s="51" t="n"/>
      <c r="F7" s="62" t="inlineStr">
        <is>
          <t>Nota geral</t>
        </is>
      </c>
      <c r="G7" s="63">
        <f>IF((COUNT(D4:D8)+COUNT(D11:D15)+COUNT(D18:D22)+COUNT(D25:D29)+COUNT(D32:D36))=0,"",(SUM(D4:D8)+SUM(D11:D15)+SUM(D18:D22)+SUM(D25:D29)+SUM(D32:D36))/((COUNT(D4:D8)+COUNT(D11:D15)+COUNT(D18:D22)+COUNT(D25:D29)+COUNT(D32:D36))*5))</f>
        <v/>
      </c>
      <c r="H7" s="64" t="n"/>
    </row>
    <row r="8" ht="23" customHeight="1">
      <c r="A8" s="54" t="n">
        <v>5</v>
      </c>
      <c r="B8" s="55" t="inlineStr">
        <is>
          <t>Itens com etiqueta vermelha são tratados no prazo</t>
        </is>
      </c>
      <c r="C8" s="56" t="n"/>
      <c r="D8" s="57" t="n"/>
      <c r="E8" s="51" t="n"/>
      <c r="F8" s="65" t="n"/>
      <c r="G8" s="66" t="n"/>
      <c r="H8" s="67" t="n"/>
    </row>
    <row r="9" ht="8" customHeight="1">
      <c r="A9" s="51" t="n"/>
      <c r="B9" s="51" t="n"/>
      <c r="C9" s="51" t="n"/>
      <c r="D9" s="51" t="n"/>
      <c r="E9" s="51" t="n"/>
      <c r="F9" s="51" t="n"/>
      <c r="G9" s="51" t="n"/>
      <c r="H9" s="51" t="n"/>
    </row>
    <row r="10" ht="22" customHeight="1">
      <c r="A10" s="48" t="inlineStr">
        <is>
          <r>
            <rPr>
              <rFont val="Arial"/>
              <b val="1"/>
              <color rgb="00FFFFFF"/>
              <sz val="10"/>
            </rPr>
            <t>2  Organização</t>
          </r>
          <r>
            <rPr>
              <rFont val="Arial"/>
              <color rgb="00D3DEEC"/>
              <sz val="8"/>
            </rPr>
            <t xml:space="preserve">   Seiton</t>
          </r>
        </is>
      </c>
      <c r="B10" s="49" t="n"/>
      <c r="C10" s="49" t="n"/>
      <c r="D10" s="50">
        <f>IF(COUNT(D11:D15)=0,"",SUM(D11:D15)&amp;" / "&amp;COUNT(D11:D15)*5)</f>
        <v/>
      </c>
      <c r="E10" s="51" t="n"/>
      <c r="F10" s="52" t="inlineStr">
        <is>
          <r>
            <rPr>
              <rFont val="Arial"/>
              <b val="1"/>
              <color rgb="00FFFFFF"/>
              <sz val="10"/>
            </rPr>
            <t>Por senso</t>
          </r>
          <r>
            <rPr>
              <rFont val="Arial"/>
              <color rgb="00D3DEEC"/>
              <sz val="8"/>
            </rPr>
            <t/>
          </r>
        </is>
      </c>
      <c r="G10" s="49" t="n"/>
      <c r="H10" s="53" t="n"/>
    </row>
    <row r="11" ht="23" customHeight="1">
      <c r="A11" s="54" t="n">
        <v>6</v>
      </c>
      <c r="B11" s="55" t="inlineStr">
        <is>
          <t>Cada item tem lugar definido e identificado</t>
        </is>
      </c>
      <c r="C11" s="56" t="n"/>
      <c r="D11" s="57" t="n"/>
      <c r="E11" s="51" t="n"/>
      <c r="F11" s="68" t="inlineStr">
        <is>
          <r>
            <rPr>
              <rFont val="Arial"/>
              <b val="1"/>
              <color rgb="001F5AA6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Utilização</t>
          </r>
        </is>
      </c>
      <c r="G11" s="69">
        <f>IF(COUNT(D4:D8)=0,"",SUM(D4:D8))</f>
        <v/>
      </c>
      <c r="H11" s="70">
        <f>IF(COUNT(D4:D8)=0,"",SUM(D4:D8)/(COUNT(D4:D8)*5))</f>
        <v/>
      </c>
    </row>
    <row r="12" ht="23" customHeight="1">
      <c r="A12" s="54" t="n">
        <v>7</v>
      </c>
      <c r="B12" s="55" t="inlineStr">
        <is>
          <t>Os itens estão no lugar quando não estão em uso</t>
        </is>
      </c>
      <c r="C12" s="56" t="n"/>
      <c r="D12" s="57" t="n"/>
      <c r="E12" s="51" t="n"/>
      <c r="F12" s="68" t="inlineStr">
        <is>
          <r>
            <rPr>
              <rFont val="Arial"/>
              <b val="1"/>
              <color rgb="001F5AA6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Organização</t>
          </r>
        </is>
      </c>
      <c r="G12" s="69">
        <f>IF(COUNT(D11:D15)=0,"",SUM(D11:D15))</f>
        <v/>
      </c>
      <c r="H12" s="70">
        <f>IF(COUNT(D11:D15)=0,"",SUM(D11:D15)/(COUNT(D11:D15)*5))</f>
        <v/>
      </c>
    </row>
    <row r="13" ht="23" customHeight="1">
      <c r="A13" s="54" t="n">
        <v>8</v>
      </c>
      <c r="B13" s="55" t="inlineStr">
        <is>
          <t>Marcações de piso estão claras (corredores, estoque, peças)</t>
        </is>
      </c>
      <c r="C13" s="56" t="n"/>
      <c r="D13" s="57" t="n"/>
      <c r="E13" s="51" t="n"/>
      <c r="F13" s="68" t="inlineStr">
        <is>
          <r>
            <rPr>
              <rFont val="Arial"/>
              <b val="1"/>
              <color rgb="00E8A200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Limpeza</t>
          </r>
        </is>
      </c>
      <c r="G13" s="69">
        <f>IF(COUNT(D18:D22)=0,"",SUM(D18:D22))</f>
        <v/>
      </c>
      <c r="H13" s="70">
        <f>IF(COUNT(D18:D22)=0,"",SUM(D18:D22)/(COUNT(D18:D22)*5))</f>
        <v/>
      </c>
    </row>
    <row r="14" ht="23" customHeight="1">
      <c r="A14" s="54" t="n">
        <v>9</v>
      </c>
      <c r="B14" s="55" t="inlineStr">
        <is>
          <t>Ferramentas ficam no ponto de uso (quadro de sombras ou armário)</t>
        </is>
      </c>
      <c r="C14" s="56" t="n"/>
      <c r="D14" s="57" t="n"/>
      <c r="E14" s="51" t="n"/>
      <c r="F14" s="68" t="inlineStr">
        <is>
          <r>
            <rPr>
              <rFont val="Arial"/>
              <b val="1"/>
              <color rgb="001F5AA6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Padronização</t>
          </r>
        </is>
      </c>
      <c r="G14" s="69">
        <f>IF(COUNT(D25:D29)=0,"",SUM(D25:D29))</f>
        <v/>
      </c>
      <c r="H14" s="70">
        <f>IF(COUNT(D25:D29)=0,"",SUM(D25:D29)/(COUNT(D25:D29)*5))</f>
        <v/>
      </c>
    </row>
    <row r="15" ht="23" customHeight="1">
      <c r="A15" s="54" t="n">
        <v>10</v>
      </c>
      <c r="B15" s="55" t="inlineStr">
        <is>
          <t>Estoques mínimo e máximo estão marcados</t>
        </is>
      </c>
      <c r="C15" s="56" t="n"/>
      <c r="D15" s="57" t="n"/>
      <c r="E15" s="51" t="n"/>
      <c r="F15" s="68" t="inlineStr">
        <is>
          <r>
            <rPr>
              <rFont val="Arial"/>
              <b val="1"/>
              <color rgb="00D93025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Disciplina</t>
          </r>
        </is>
      </c>
      <c r="G15" s="69">
        <f>IF(COUNT(D32:D36)=0,"",SUM(D32:D36))</f>
        <v/>
      </c>
      <c r="H15" s="70">
        <f>IF(COUNT(D32:D36)=0,"",SUM(D32:D36)/(COUNT(D32:D36)*5))</f>
        <v/>
      </c>
    </row>
    <row r="16" ht="8" customHeight="1">
      <c r="A16" s="51" t="n"/>
      <c r="B16" s="51" t="n"/>
      <c r="C16" s="51" t="n"/>
      <c r="D16" s="51" t="n"/>
      <c r="E16" s="51" t="n"/>
      <c r="F16" s="51" t="n"/>
      <c r="G16" s="51" t="n"/>
      <c r="H16" s="51" t="n"/>
    </row>
    <row r="17" ht="22" customHeight="1">
      <c r="A17" s="48" t="inlineStr">
        <is>
          <r>
            <rPr>
              <rFont val="Arial"/>
              <b val="1"/>
              <color rgb="00FFFFFF"/>
              <sz val="10"/>
            </rPr>
            <t>3  Limpeza</t>
          </r>
          <r>
            <rPr>
              <rFont val="Arial"/>
              <color rgb="00D3DEEC"/>
              <sz val="8"/>
            </rPr>
            <t xml:space="preserve">   Seiso</t>
          </r>
        </is>
      </c>
      <c r="B17" s="49" t="n"/>
      <c r="C17" s="49" t="n"/>
      <c r="D17" s="50">
        <f>IF(COUNT(D18:D22)=0,"",SUM(D18:D22)&amp;" / "&amp;COUNT(D18:D22)*5)</f>
        <v/>
      </c>
      <c r="E17" s="51" t="n"/>
      <c r="F17" s="52" t="inlineStr">
        <is>
          <r>
            <rPr>
              <rFont val="Arial"/>
              <b val="1"/>
              <color rgb="00FFFFFF"/>
              <sz val="10"/>
            </rPr>
            <t>Perfil por senso</t>
          </r>
          <r>
            <rPr>
              <rFont val="Arial"/>
              <color rgb="00D3DEEC"/>
              <sz val="8"/>
            </rPr>
            <t/>
          </r>
        </is>
      </c>
      <c r="G17" s="49" t="n"/>
      <c r="H17" s="53" t="n"/>
    </row>
    <row r="18" ht="23" customHeight="1">
      <c r="A18" s="54" t="n">
        <v>11</v>
      </c>
      <c r="B18" s="55" t="inlineStr">
        <is>
          <t>Piso, paredes e bancadas estão limpos, sem óleo, pó ou resíduo</t>
        </is>
      </c>
      <c r="C18" s="56" t="n"/>
      <c r="D18" s="57" t="n"/>
      <c r="E18" s="51" t="n"/>
      <c r="F18" s="71" t="n"/>
      <c r="G18" s="72" t="n"/>
      <c r="H18" s="73" t="n"/>
    </row>
    <row r="19" ht="23" customHeight="1">
      <c r="A19" s="54" t="n">
        <v>12</v>
      </c>
      <c r="B19" s="55" t="inlineStr">
        <is>
          <t>As máquinas estão limpas e vazamentos são fáceis de ver</t>
        </is>
      </c>
      <c r="C19" s="56" t="n"/>
      <c r="D19" s="57" t="n"/>
      <c r="E19" s="51" t="n"/>
      <c r="F19" s="71" t="n"/>
      <c r="G19" s="72" t="n"/>
      <c r="H19" s="73" t="n"/>
    </row>
    <row r="20" ht="23" customHeight="1">
      <c r="A20" s="54" t="n">
        <v>13</v>
      </c>
      <c r="B20" s="55" t="inlineStr">
        <is>
          <t>Existe escala de limpeza com nomes, afixada e cumprida</t>
        </is>
      </c>
      <c r="C20" s="56" t="n"/>
      <c r="D20" s="57" t="n"/>
      <c r="E20" s="51" t="n"/>
      <c r="F20" s="71" t="n"/>
      <c r="G20" s="72" t="n"/>
      <c r="H20" s="73" t="n"/>
    </row>
    <row r="21" ht="23" customHeight="1">
      <c r="A21" s="54" t="n">
        <v>14</v>
      </c>
      <c r="B21" s="55" t="inlineStr">
        <is>
          <t>Material de limpeza está disponível e guardado no lugar</t>
        </is>
      </c>
      <c r="C21" s="56" t="n"/>
      <c r="D21" s="57" t="n"/>
      <c r="E21" s="51" t="n"/>
      <c r="F21" s="71" t="n"/>
      <c r="G21" s="72" t="n"/>
      <c r="H21" s="73" t="n"/>
    </row>
    <row r="22" ht="23" customHeight="1">
      <c r="A22" s="54" t="n">
        <v>15</v>
      </c>
      <c r="B22" s="55" t="inlineStr">
        <is>
          <t>Fontes de sujeira e vazamento são conhecidas e têm ação</t>
        </is>
      </c>
      <c r="C22" s="56" t="n"/>
      <c r="D22" s="57" t="n"/>
      <c r="E22" s="51" t="n"/>
      <c r="F22" s="71" t="n"/>
      <c r="G22" s="72" t="n"/>
      <c r="H22" s="73" t="n"/>
    </row>
    <row r="23" ht="8" customHeight="1">
      <c r="A23" s="51" t="n"/>
      <c r="B23" s="51" t="n"/>
      <c r="C23" s="51" t="n"/>
      <c r="D23" s="51" t="n"/>
      <c r="E23" s="51" t="n"/>
      <c r="F23" s="71" t="n"/>
      <c r="G23" s="72" t="n"/>
      <c r="H23" s="73" t="n"/>
    </row>
    <row r="24" ht="23" customHeight="1">
      <c r="A24" s="48" t="inlineStr">
        <is>
          <r>
            <rPr>
              <rFont val="Arial"/>
              <b val="1"/>
              <color rgb="00FFFFFF"/>
              <sz val="10"/>
            </rPr>
            <t>4  Padronização</t>
          </r>
          <r>
            <rPr>
              <rFont val="Arial"/>
              <color rgb="00D3DEEC"/>
              <sz val="8"/>
            </rPr>
            <t xml:space="preserve">   Seiketsu</t>
          </r>
        </is>
      </c>
      <c r="B24" s="49" t="n"/>
      <c r="C24" s="49" t="n"/>
      <c r="D24" s="50">
        <f>IF(COUNT(D25:D29)=0,"",SUM(D25:D29)&amp;" / "&amp;COUNT(D25:D29)*5)</f>
        <v/>
      </c>
      <c r="E24" s="51" t="n"/>
      <c r="F24" s="71" t="n"/>
      <c r="G24" s="72" t="n"/>
      <c r="H24" s="73" t="n"/>
    </row>
    <row r="25" ht="23" customHeight="1">
      <c r="A25" s="54" t="n">
        <v>16</v>
      </c>
      <c r="B25" s="55" t="inlineStr">
        <is>
          <t>Existe padrão 5S da área, com fotos, afixado</t>
        </is>
      </c>
      <c r="C25" s="56" t="n"/>
      <c r="D25" s="57" t="n"/>
      <c r="E25" s="51" t="n"/>
      <c r="F25" s="71" t="n"/>
      <c r="G25" s="72" t="n"/>
      <c r="H25" s="73" t="n"/>
    </row>
    <row r="26" ht="23" customHeight="1">
      <c r="A26" s="54" t="n">
        <v>17</v>
      </c>
      <c r="B26" s="55" t="inlineStr">
        <is>
          <t>Etiquetas, cores e marcações seguem o padrão da planta</t>
        </is>
      </c>
      <c r="C26" s="56" t="n"/>
      <c r="D26" s="57" t="n"/>
      <c r="E26" s="51" t="n"/>
      <c r="F26" s="71" t="n"/>
      <c r="G26" s="72" t="n"/>
      <c r="H26" s="73" t="n"/>
    </row>
    <row r="27" ht="23" customHeight="1">
      <c r="A27" s="54" t="n">
        <v>18</v>
      </c>
      <c r="B27" s="55" t="inlineStr">
        <is>
          <t>Checklists e escalas estão atualizados e em uso</t>
        </is>
      </c>
      <c r="C27" s="56" t="n"/>
      <c r="D27" s="57" t="n"/>
      <c r="E27" s="51" t="n"/>
      <c r="F27" s="71" t="n"/>
      <c r="G27" s="72" t="n"/>
      <c r="H27" s="73" t="n"/>
    </row>
    <row r="28" ht="23" customHeight="1">
      <c r="A28" s="54" t="n">
        <v>19</v>
      </c>
      <c r="B28" s="55" t="inlineStr">
        <is>
          <t>Qualquer pessoa vê o que é normal e o que é anormal</t>
        </is>
      </c>
      <c r="C28" s="56" t="n"/>
      <c r="D28" s="57" t="n"/>
      <c r="E28" s="51" t="n"/>
      <c r="F28" s="71" t="n"/>
      <c r="G28" s="72" t="n"/>
      <c r="H28" s="73" t="n"/>
    </row>
    <row r="29" ht="23" customHeight="1">
      <c r="A29" s="54" t="n">
        <v>20</v>
      </c>
      <c r="B29" s="55" t="inlineStr">
        <is>
          <t>Melhorias de auditorias anteriores continuam em vigor</t>
        </is>
      </c>
      <c r="C29" s="56" t="n"/>
      <c r="D29" s="57" t="n"/>
      <c r="E29" s="51" t="n"/>
      <c r="F29" s="74" t="n"/>
      <c r="G29" s="75" t="n"/>
      <c r="H29" s="76" t="n"/>
    </row>
    <row r="30" ht="8" customHeight="1">
      <c r="A30" s="51" t="n"/>
      <c r="B30" s="51" t="n"/>
      <c r="C30" s="51" t="n"/>
      <c r="D30" s="51" t="n"/>
      <c r="E30" s="51" t="n"/>
      <c r="F30" s="51" t="n"/>
      <c r="G30" s="51" t="n"/>
      <c r="H30" s="51" t="n"/>
    </row>
    <row r="31" ht="22" customHeight="1">
      <c r="A31" s="48" t="inlineStr">
        <is>
          <r>
            <rPr>
              <rFont val="Arial"/>
              <b val="1"/>
              <color rgb="00FFFFFF"/>
              <sz val="10"/>
            </rPr>
            <t>5  Disciplina</t>
          </r>
          <r>
            <rPr>
              <rFont val="Arial"/>
              <color rgb="00D3DEEC"/>
              <sz val="8"/>
            </rPr>
            <t xml:space="preserve">   Shitsuke</t>
          </r>
        </is>
      </c>
      <c r="B31" s="49" t="n"/>
      <c r="C31" s="49" t="n"/>
      <c r="D31" s="50">
        <f>IF(COUNT(D32:D36)=0,"",SUM(D32:D36)&amp;" / "&amp;COUNT(D32:D36)*5)</f>
        <v/>
      </c>
      <c r="E31" s="51" t="n"/>
      <c r="F31" s="52" t="inlineStr">
        <is>
          <r>
            <rPr>
              <rFont val="Arial"/>
              <b val="1"/>
              <color rgb="00FFFFFF"/>
              <sz val="10"/>
            </rPr>
            <t>Observações</t>
          </r>
          <r>
            <rPr>
              <rFont val="Arial"/>
              <color rgb="00D3DEEC"/>
              <sz val="8"/>
            </rPr>
            <t/>
          </r>
        </is>
      </c>
      <c r="G31" s="49" t="n"/>
      <c r="H31" s="53" t="n"/>
    </row>
    <row r="32" ht="23" customHeight="1">
      <c r="A32" s="54" t="n">
        <v>21</v>
      </c>
      <c r="B32" s="55" t="inlineStr">
        <is>
          <t>As auditorias 5S são feitas no prazo e o resultado fica à vista</t>
        </is>
      </c>
      <c r="C32" s="56" t="n"/>
      <c r="D32" s="57" t="n"/>
      <c r="E32" s="51" t="n"/>
      <c r="F32" s="77" t="n"/>
      <c r="G32" s="51" t="n"/>
      <c r="H32" s="78" t="n"/>
    </row>
    <row r="33" ht="23" customHeight="1">
      <c r="A33" s="54" t="n">
        <v>22</v>
      </c>
      <c r="B33" s="55" t="inlineStr">
        <is>
          <t>Ações da última auditoria são fechadas no prazo</t>
        </is>
      </c>
      <c r="C33" s="56" t="n"/>
      <c r="D33" s="57" t="n"/>
      <c r="E33" s="51" t="n"/>
      <c r="F33" s="79" t="n"/>
      <c r="G33" s="51" t="n"/>
      <c r="H33" s="78" t="n"/>
    </row>
    <row r="34" ht="23" customHeight="1">
      <c r="A34" s="54" t="n">
        <v>23</v>
      </c>
      <c r="B34" s="55" t="inlineStr">
        <is>
          <t>Todos da área foram treinados no padrão 5S</t>
        </is>
      </c>
      <c r="C34" s="56" t="n"/>
      <c r="D34" s="57" t="n"/>
      <c r="E34" s="51" t="n"/>
      <c r="F34" s="79" t="n"/>
      <c r="G34" s="51" t="n"/>
      <c r="H34" s="78" t="n"/>
    </row>
    <row r="35" ht="23" customHeight="1">
      <c r="A35" s="54" t="n">
        <v>24</v>
      </c>
      <c r="B35" s="55" t="inlineStr">
        <is>
          <t>A liderança verifica o 5S nas rondas e reuniões</t>
        </is>
      </c>
      <c r="C35" s="56" t="n"/>
      <c r="D35" s="57" t="n"/>
      <c r="E35" s="51" t="n"/>
      <c r="F35" s="79" t="n"/>
      <c r="G35" s="51" t="n"/>
      <c r="H35" s="78" t="n"/>
    </row>
    <row r="36" ht="23" customHeight="1">
      <c r="A36" s="54" t="n">
        <v>25</v>
      </c>
      <c r="B36" s="55" t="inlineStr">
        <is>
          <t>A nota se manteve ou melhorou desde a última auditoria</t>
        </is>
      </c>
      <c r="C36" s="56" t="n"/>
      <c r="D36" s="57" t="n"/>
      <c r="E36" s="51" t="n"/>
      <c r="F36" s="80" t="n"/>
      <c r="G36" s="81" t="n"/>
      <c r="H36" s="82" t="n"/>
    </row>
    <row r="37" ht="8" customHeight="1">
      <c r="A37" s="51" t="n"/>
      <c r="B37" s="51" t="n"/>
      <c r="C37" s="51" t="n"/>
      <c r="D37" s="51" t="n"/>
      <c r="E37" s="51" t="n"/>
      <c r="F37" s="51" t="n"/>
      <c r="G37" s="51" t="n"/>
      <c r="H37" s="51" t="n"/>
    </row>
    <row r="38" ht="20" customHeight="1">
      <c r="A38" s="83" t="inlineStr">
        <is>
          <r>
            <rPr>
              <rFont val="Arial"/>
              <b val="1"/>
              <color rgb="006B7686"/>
              <sz val="8"/>
            </rPr>
            <t xml:space="preserve">Nota: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1 Não existe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2 Fraco     </t>
          </r>
          <r>
            <rPr>
              <rFont val="Arial"/>
              <b val="1"/>
              <color rgb="008A5A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3 Parcial     </t>
          </r>
          <r>
            <rPr>
              <rFont val="Arial"/>
              <b val="1"/>
              <color rgb="004F7F1F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4 Bom     </t>
          </r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5 Existe e se mantém     </t>
          </r>
          <r>
            <rPr>
              <rFont val="Arial"/>
              <b val="1"/>
              <color rgb="006B7686"/>
              <sz val="8"/>
            </rPr>
            <t>·  Ações: aba Tendência e ações</t>
          </r>
        </is>
      </c>
    </row>
  </sheetData>
  <mergeCells count="46">
    <mergeCell ref="C1:E1"/>
    <mergeCell ref="B7:C7"/>
    <mergeCell ref="B25:C25"/>
    <mergeCell ref="B22:C22"/>
    <mergeCell ref="A3:C3"/>
    <mergeCell ref="F17:H17"/>
    <mergeCell ref="F2:H2"/>
    <mergeCell ref="B18:C18"/>
    <mergeCell ref="B27:C27"/>
    <mergeCell ref="B12:C12"/>
    <mergeCell ref="C2:E2"/>
    <mergeCell ref="B21:C21"/>
    <mergeCell ref="B11:C11"/>
    <mergeCell ref="F31:H31"/>
    <mergeCell ref="F32:H36"/>
    <mergeCell ref="A17:C17"/>
    <mergeCell ref="B14:C14"/>
    <mergeCell ref="G6:H6"/>
    <mergeCell ref="B8:C8"/>
    <mergeCell ref="A10:C10"/>
    <mergeCell ref="B13:C13"/>
    <mergeCell ref="B29:C29"/>
    <mergeCell ref="B19:C19"/>
    <mergeCell ref="A31:C31"/>
    <mergeCell ref="B34:C34"/>
    <mergeCell ref="F1:H1"/>
    <mergeCell ref="B28:C28"/>
    <mergeCell ref="G5:H5"/>
    <mergeCell ref="A1:B2"/>
    <mergeCell ref="A24:C24"/>
    <mergeCell ref="G4:H4"/>
    <mergeCell ref="B6:C6"/>
    <mergeCell ref="F10:H10"/>
    <mergeCell ref="G7:H8"/>
    <mergeCell ref="B15:C15"/>
    <mergeCell ref="B33:C33"/>
    <mergeCell ref="B5:C5"/>
    <mergeCell ref="B20:C20"/>
    <mergeCell ref="A38:H38"/>
    <mergeCell ref="B36:C36"/>
    <mergeCell ref="B32:C32"/>
    <mergeCell ref="F7:F8"/>
    <mergeCell ref="B26:C26"/>
    <mergeCell ref="F3:H3"/>
    <mergeCell ref="B35:C35"/>
    <mergeCell ref="B4:C4"/>
  </mergeCells>
  <conditionalFormatting sqref="D4:D8">
    <cfRule type="expression" priority="1" dxfId="0" stopIfTrue="1">
      <formula>D4=1</formula>
    </cfRule>
    <cfRule type="expression" priority="2" dxfId="1" stopIfTrue="1">
      <formula>D4=2</formula>
    </cfRule>
    <cfRule type="expression" priority="3" dxfId="2" stopIfTrue="1">
      <formula>D4=3</formula>
    </cfRule>
    <cfRule type="expression" priority="4" dxfId="3" stopIfTrue="1">
      <formula>D4=4</formula>
    </cfRule>
    <cfRule type="expression" priority="5" dxfId="4" stopIfTrue="1">
      <formula>D4=5</formula>
    </cfRule>
  </conditionalFormatting>
  <conditionalFormatting sqref="D11:D15">
    <cfRule type="expression" priority="6" dxfId="0" stopIfTrue="1">
      <formula>D11=1</formula>
    </cfRule>
    <cfRule type="expression" priority="7" dxfId="1" stopIfTrue="1">
      <formula>D11=2</formula>
    </cfRule>
    <cfRule type="expression" priority="8" dxfId="2" stopIfTrue="1">
      <formula>D11=3</formula>
    </cfRule>
    <cfRule type="expression" priority="9" dxfId="3" stopIfTrue="1">
      <formula>D11=4</formula>
    </cfRule>
    <cfRule type="expression" priority="10" dxfId="4" stopIfTrue="1">
      <formula>D11=5</formula>
    </cfRule>
  </conditionalFormatting>
  <conditionalFormatting sqref="D18:D22">
    <cfRule type="expression" priority="11" dxfId="0" stopIfTrue="1">
      <formula>D18=1</formula>
    </cfRule>
    <cfRule type="expression" priority="12" dxfId="1" stopIfTrue="1">
      <formula>D18=2</formula>
    </cfRule>
    <cfRule type="expression" priority="13" dxfId="2" stopIfTrue="1">
      <formula>D18=3</formula>
    </cfRule>
    <cfRule type="expression" priority="14" dxfId="3" stopIfTrue="1">
      <formula>D18=4</formula>
    </cfRule>
    <cfRule type="expression" priority="15" dxfId="4" stopIfTrue="1">
      <formula>D18=5</formula>
    </cfRule>
  </conditionalFormatting>
  <conditionalFormatting sqref="D25:D29">
    <cfRule type="expression" priority="16" dxfId="0" stopIfTrue="1">
      <formula>D25=1</formula>
    </cfRule>
    <cfRule type="expression" priority="17" dxfId="1" stopIfTrue="1">
      <formula>D25=2</formula>
    </cfRule>
    <cfRule type="expression" priority="18" dxfId="2" stopIfTrue="1">
      <formula>D25=3</formula>
    </cfRule>
    <cfRule type="expression" priority="19" dxfId="3" stopIfTrue="1">
      <formula>D25=4</formula>
    </cfRule>
    <cfRule type="expression" priority="20" dxfId="4" stopIfTrue="1">
      <formula>D25=5</formula>
    </cfRule>
  </conditionalFormatting>
  <conditionalFormatting sqref="D32:D36">
    <cfRule type="expression" priority="21" dxfId="0" stopIfTrue="1">
      <formula>D32=1</formula>
    </cfRule>
    <cfRule type="expression" priority="22" dxfId="1" stopIfTrue="1">
      <formula>D32=2</formula>
    </cfRule>
    <cfRule type="expression" priority="23" dxfId="2" stopIfTrue="1">
      <formula>D32=3</formula>
    </cfRule>
    <cfRule type="expression" priority="24" dxfId="3" stopIfTrue="1">
      <formula>D32=4</formula>
    </cfRule>
    <cfRule type="expression" priority="25" dxfId="4" stopIfTrue="1">
      <formula>D32=5</formula>
    </cfRule>
  </conditionalFormatting>
  <conditionalFormatting sqref="G7:H8">
    <cfRule type="expression" priority="26" dxfId="0" stopIfTrue="1">
      <formula>AND(ISNUMBER($G$7),G7&lt;0.5)</formula>
    </cfRule>
    <cfRule type="expression" priority="27" dxfId="2" stopIfTrue="1">
      <formula>AND(ISNUMBER($G$7),G7&lt;0.8)</formula>
    </cfRule>
    <cfRule type="expression" priority="28" dxfId="4" stopIfTrue="1">
      <formula>AND(ISNUMBER($G$7),G7&gt;=0.8)</formula>
    </cfRule>
  </conditionalFormatting>
  <conditionalFormatting sqref="H11:H15">
    <cfRule type="dataBar" priority="29">
      <dataBar showValue="1">
        <cfvo type="num" val="0"/>
        <cfvo type="num" val="1"/>
        <color rgb="001F5AA6"/>
      </dataBar>
    </cfRule>
  </conditionalFormatting>
  <dataValidations count="8">
    <dataValidation sqref="D4:D8" showDropDown="0" showInputMessage="0" showErrorMessage="1" allowBlank="1" errorTitle="Valor fora da lista" error="Escolha um item da lista." type="list" errorStyle="stop">
      <formula1>"1,2,3,4,5"</formula1>
    </dataValidation>
    <dataValidation sqref="D11:D15" showDropDown="0" showInputMessage="0" showErrorMessage="1" allowBlank="1" errorTitle="Valor fora da lista" error="Escolha um item da lista." type="list" errorStyle="stop">
      <formula1>"1,2,3,4,5"</formula1>
    </dataValidation>
    <dataValidation sqref="D18:D22" showDropDown="0" showInputMessage="0" showErrorMessage="1" allowBlank="1" errorTitle="Valor fora da lista" error="Escolha um item da lista." type="list" errorStyle="stop">
      <formula1>"1,2,3,4,5"</formula1>
    </dataValidation>
    <dataValidation sqref="D25:D29" showDropDown="0" showInputMessage="0" showErrorMessage="1" allowBlank="1" errorTitle="Valor fora da lista" error="Escolha um item da lista." type="list" errorStyle="stop">
      <formula1>"1,2,3,4,5"</formula1>
    </dataValidation>
    <dataValidation sqref="D32:D36" showDropDown="0" showInputMessage="0" showErrorMessage="1" allowBlank="1" errorTitle="Valor fora da lista" error="Escolha um item da lista." type="list" errorStyle="stop">
      <formula1>"1,2,3,4,5"</formula1>
    </dataValidation>
    <dataValidation sqref="G4" showDropDown="0" showInputMessage="0" showErrorMessage="1" allowBlank="1" errorTitle="Valor fora da lista" error="Escolha um item da lista." type="list" errorStyle="stop">
      <formula1>L_SETORES</formula1>
    </dataValidation>
    <dataValidation sqref="G5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G6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N37"/>
  <sheetViews>
    <sheetView showGridLines="0" tabSelected="0" zoomScale="9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4" customWidth="1" min="14" max="14"/>
  </cols>
  <sheetData>
    <row r="1" ht="30.75" customHeight="1">
      <c r="A1" s="39" t="n"/>
      <c r="B1" s="40" t="n"/>
      <c r="C1" s="84" t="inlineStr">
        <is>
          <t>Tendência e ações</t>
        </is>
      </c>
      <c r="D1" s="42" t="n"/>
      <c r="E1" s="42" t="n"/>
      <c r="F1" s="42" t="n"/>
      <c r="G1" s="42" t="n"/>
      <c r="H1" s="42" t="n"/>
      <c r="I1" s="42" t="n"/>
      <c r="J1" s="42" t="n"/>
      <c r="K1" s="40" t="n"/>
      <c r="L1" s="43">
        <f>"Rev. "&amp;'Leia-me'!$D$15&amp;"   ·   "&amp;'Leia-me'!$D$16</f>
        <v/>
      </c>
      <c r="M1" s="42" t="n"/>
      <c r="N1" s="40" t="n"/>
    </row>
    <row r="2" ht="28" customHeight="1">
      <c r="A2" s="44" t="n"/>
      <c r="B2" s="45" t="n"/>
      <c r="C2" s="46" t="inlineStr">
        <is>
          <t>Objetivo: Acompanhar a nota 5S ao longo das auditorias e as ações abertas</t>
        </is>
      </c>
      <c r="D2" s="47" t="n"/>
      <c r="E2" s="47" t="n"/>
      <c r="F2" s="47" t="n"/>
      <c r="G2" s="47" t="n"/>
      <c r="H2" s="47" t="n"/>
      <c r="I2" s="47" t="n"/>
      <c r="J2" s="47" t="n"/>
      <c r="K2" s="45" t="n"/>
      <c r="L2" s="46">
        <f>"Elaborado: "&amp;'Leia-me'!$D$13&amp;"   ·   Aprovado: "&amp;'Leia-me'!$D$14</f>
        <v/>
      </c>
      <c r="M2" s="47" t="n"/>
      <c r="N2" s="45" t="n"/>
    </row>
    <row r="3" ht="12" customHeight="1">
      <c r="A3" s="85" t="inlineStr">
        <is>
          <t>Área auditada</t>
        </is>
      </c>
      <c r="B3" s="86" t="n"/>
      <c r="C3" s="86" t="n"/>
      <c r="D3" s="86" t="n"/>
      <c r="E3" s="87" t="inlineStr">
        <is>
          <t>Responsável da área</t>
        </is>
      </c>
      <c r="F3" s="86" t="n"/>
      <c r="G3" s="86" t="n"/>
      <c r="H3" s="86" t="n"/>
      <c r="I3" s="87" t="inlineStr">
        <is>
          <t>Meta da nota</t>
        </is>
      </c>
      <c r="J3" s="86" t="n"/>
      <c r="K3" s="88" t="inlineStr">
        <is>
          <t>Última variação</t>
        </is>
      </c>
      <c r="L3" s="86" t="n"/>
      <c r="M3" s="86" t="n"/>
      <c r="N3" s="89" t="n"/>
    </row>
    <row r="4" ht="24" customHeight="1">
      <c r="A4" s="90" t="n"/>
      <c r="B4" s="20" t="n"/>
      <c r="C4" s="20" t="n"/>
      <c r="D4" s="60" t="n"/>
      <c r="E4" s="90" t="n"/>
      <c r="F4" s="20" t="n"/>
      <c r="G4" s="20" t="n"/>
      <c r="H4" s="60" t="n"/>
      <c r="I4" s="91" t="n"/>
      <c r="J4" s="60" t="n"/>
      <c r="K4" s="92">
        <f>IF(COUNT(B20:M20)&lt;2,"",INDEX(B21:M21,MATCH(9.99E+307,B20:M20)))</f>
        <v/>
      </c>
      <c r="L4" s="25" t="n"/>
      <c r="M4" s="25" t="n"/>
      <c r="N4" s="93" t="n"/>
    </row>
    <row r="5" ht="8" customHeight="1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</row>
    <row r="6" ht="22" customHeight="1">
      <c r="A6" s="52" t="inlineStr">
        <is>
          <r>
            <rPr>
              <rFont val="Arial"/>
              <b val="1"/>
              <color rgb="00FFFFFF"/>
              <sz val="10"/>
            </rPr>
            <t>Tendência da nota 5S</t>
          </r>
          <r>
            <rPr>
              <rFont val="Arial"/>
              <color rgb="00D3DEEC"/>
              <sz val="8"/>
            </rPr>
            <t xml:space="preserve">   uma coluna por auditoria: digite a data e a nota geral do Placar 5S</t>
          </r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53" t="n"/>
    </row>
    <row r="7" ht="20" customHeight="1">
      <c r="A7" s="94" t="inlineStr">
        <is>
          <t>Auditoria</t>
        </is>
      </c>
      <c r="B7" s="95" t="inlineStr">
        <is>
          <t>1</t>
        </is>
      </c>
      <c r="C7" s="95" t="inlineStr">
        <is>
          <t>2</t>
        </is>
      </c>
      <c r="D7" s="95" t="inlineStr">
        <is>
          <t>3</t>
        </is>
      </c>
      <c r="E7" s="95" t="inlineStr">
        <is>
          <t>4</t>
        </is>
      </c>
      <c r="F7" s="95" t="inlineStr">
        <is>
          <t>5</t>
        </is>
      </c>
      <c r="G7" s="95" t="inlineStr">
        <is>
          <t>6</t>
        </is>
      </c>
      <c r="H7" s="95" t="inlineStr">
        <is>
          <t>7</t>
        </is>
      </c>
      <c r="I7" s="95" t="inlineStr">
        <is>
          <t>8</t>
        </is>
      </c>
      <c r="J7" s="95" t="inlineStr">
        <is>
          <t>9</t>
        </is>
      </c>
      <c r="K7" s="95" t="inlineStr">
        <is>
          <t>10</t>
        </is>
      </c>
      <c r="L7" s="95" t="inlineStr">
        <is>
          <t>11</t>
        </is>
      </c>
      <c r="M7" s="95" t="inlineStr">
        <is>
          <t>12</t>
        </is>
      </c>
      <c r="N7" s="96" t="inlineStr">
        <is>
          <t>Faixa</t>
        </is>
      </c>
    </row>
    <row r="8" ht="20" customHeight="1">
      <c r="A8" s="97" t="inlineStr">
        <is>
          <t>Data</t>
        </is>
      </c>
      <c r="B8" s="98" t="n"/>
      <c r="C8" s="98" t="n"/>
      <c r="D8" s="98" t="n"/>
      <c r="E8" s="98" t="n"/>
      <c r="F8" s="98" t="n"/>
      <c r="G8" s="98" t="n"/>
      <c r="H8" s="98" t="n"/>
      <c r="I8" s="98" t="n"/>
      <c r="J8" s="98" t="n"/>
      <c r="K8" s="98" t="n"/>
      <c r="L8" s="98" t="n"/>
      <c r="M8" s="98" t="n"/>
      <c r="N8" s="73" t="n"/>
    </row>
    <row r="9" ht="15" customHeight="1">
      <c r="A9" s="99" t="n">
        <v>1</v>
      </c>
      <c r="B9" s="100">
        <f>IF(AND(ISNUMBER(B$20),ROUND(B$20*10,0)=10),"●","")</f>
        <v/>
      </c>
      <c r="C9" s="100">
        <f>IF(AND(ISNUMBER(C$20),ROUND(C$20*10,0)=10),"●","")</f>
        <v/>
      </c>
      <c r="D9" s="100">
        <f>IF(AND(ISNUMBER(D$20),ROUND(D$20*10,0)=10),"●","")</f>
        <v/>
      </c>
      <c r="E9" s="100">
        <f>IF(AND(ISNUMBER(E$20),ROUND(E$20*10,0)=10),"●","")</f>
        <v/>
      </c>
      <c r="F9" s="100">
        <f>IF(AND(ISNUMBER(F$20),ROUND(F$20*10,0)=10),"●","")</f>
        <v/>
      </c>
      <c r="G9" s="100">
        <f>IF(AND(ISNUMBER(G$20),ROUND(G$20*10,0)=10),"●","")</f>
        <v/>
      </c>
      <c r="H9" s="100">
        <f>IF(AND(ISNUMBER(H$20),ROUND(H$20*10,0)=10),"●","")</f>
        <v/>
      </c>
      <c r="I9" s="100">
        <f>IF(AND(ISNUMBER(I$20),ROUND(I$20*10,0)=10),"●","")</f>
        <v/>
      </c>
      <c r="J9" s="100">
        <f>IF(AND(ISNUMBER(J$20),ROUND(J$20*10,0)=10),"●","")</f>
        <v/>
      </c>
      <c r="K9" s="100">
        <f>IF(AND(ISNUMBER(K$20),ROUND(K$20*10,0)=10),"●","")</f>
        <v/>
      </c>
      <c r="L9" s="100">
        <f>IF(AND(ISNUMBER(L$20),ROUND(L$20*10,0)=10),"●","")</f>
        <v/>
      </c>
      <c r="M9" s="100">
        <f>IF(AND(ISNUMBER(M$20),ROUND(M$20*10,0)=10),"●","")</f>
        <v/>
      </c>
      <c r="N9" s="101" t="inlineStr">
        <is>
          <t>Bom</t>
        </is>
      </c>
    </row>
    <row r="10" ht="15" customHeight="1">
      <c r="A10" s="99" t="n">
        <v>0.9</v>
      </c>
      <c r="B10" s="102">
        <f>IF(AND(ISNUMBER(B$20),ROUND(B$20*10,0)=9),"●","")</f>
        <v/>
      </c>
      <c r="C10" s="102">
        <f>IF(AND(ISNUMBER(C$20),ROUND(C$20*10,0)=9),"●","")</f>
        <v/>
      </c>
      <c r="D10" s="102">
        <f>IF(AND(ISNUMBER(D$20),ROUND(D$20*10,0)=9),"●","")</f>
        <v/>
      </c>
      <c r="E10" s="102">
        <f>IF(AND(ISNUMBER(E$20),ROUND(E$20*10,0)=9),"●","")</f>
        <v/>
      </c>
      <c r="F10" s="102">
        <f>IF(AND(ISNUMBER(F$20),ROUND(F$20*10,0)=9),"●","")</f>
        <v/>
      </c>
      <c r="G10" s="102">
        <f>IF(AND(ISNUMBER(G$20),ROUND(G$20*10,0)=9),"●","")</f>
        <v/>
      </c>
      <c r="H10" s="102">
        <f>IF(AND(ISNUMBER(H$20),ROUND(H$20*10,0)=9),"●","")</f>
        <v/>
      </c>
      <c r="I10" s="102">
        <f>IF(AND(ISNUMBER(I$20),ROUND(I$20*10,0)=9),"●","")</f>
        <v/>
      </c>
      <c r="J10" s="102">
        <f>IF(AND(ISNUMBER(J$20),ROUND(J$20*10,0)=9),"●","")</f>
        <v/>
      </c>
      <c r="K10" s="102">
        <f>IF(AND(ISNUMBER(K$20),ROUND(K$20*10,0)=9),"●","")</f>
        <v/>
      </c>
      <c r="L10" s="102">
        <f>IF(AND(ISNUMBER(L$20),ROUND(L$20*10,0)=9),"●","")</f>
        <v/>
      </c>
      <c r="M10" s="102">
        <f>IF(AND(ISNUMBER(M$20),ROUND(M$20*10,0)=9),"●","")</f>
        <v/>
      </c>
      <c r="N10" s="103" t="n"/>
    </row>
    <row r="11" ht="15" customHeight="1">
      <c r="A11" s="99" t="n">
        <v>0.8</v>
      </c>
      <c r="B11" s="104">
        <f>IF(AND(ISNUMBER(B$20),ROUND(B$20*10,0)=8),"●","")</f>
        <v/>
      </c>
      <c r="C11" s="104">
        <f>IF(AND(ISNUMBER(C$20),ROUND(C$20*10,0)=8),"●","")</f>
        <v/>
      </c>
      <c r="D11" s="104">
        <f>IF(AND(ISNUMBER(D$20),ROUND(D$20*10,0)=8),"●","")</f>
        <v/>
      </c>
      <c r="E11" s="104">
        <f>IF(AND(ISNUMBER(E$20),ROUND(E$20*10,0)=8),"●","")</f>
        <v/>
      </c>
      <c r="F11" s="104">
        <f>IF(AND(ISNUMBER(F$20),ROUND(F$20*10,0)=8),"●","")</f>
        <v/>
      </c>
      <c r="G11" s="104">
        <f>IF(AND(ISNUMBER(G$20),ROUND(G$20*10,0)=8),"●","")</f>
        <v/>
      </c>
      <c r="H11" s="104">
        <f>IF(AND(ISNUMBER(H$20),ROUND(H$20*10,0)=8),"●","")</f>
        <v/>
      </c>
      <c r="I11" s="104">
        <f>IF(AND(ISNUMBER(I$20),ROUND(I$20*10,0)=8),"●","")</f>
        <v/>
      </c>
      <c r="J11" s="104">
        <f>IF(AND(ISNUMBER(J$20),ROUND(J$20*10,0)=8),"●","")</f>
        <v/>
      </c>
      <c r="K11" s="104">
        <f>IF(AND(ISNUMBER(K$20),ROUND(K$20*10,0)=8),"●","")</f>
        <v/>
      </c>
      <c r="L11" s="104">
        <f>IF(AND(ISNUMBER(L$20),ROUND(L$20*10,0)=8),"●","")</f>
        <v/>
      </c>
      <c r="M11" s="104">
        <f>IF(AND(ISNUMBER(M$20),ROUND(M$20*10,0)=8),"●","")</f>
        <v/>
      </c>
      <c r="N11" s="103" t="n"/>
    </row>
    <row r="12" ht="15" customHeight="1">
      <c r="A12" s="99" t="n">
        <v>0.7</v>
      </c>
      <c r="B12" s="105">
        <f>IF(AND(ISNUMBER(B$20),ROUND(B$20*10,0)=7),"●","")</f>
        <v/>
      </c>
      <c r="C12" s="105">
        <f>IF(AND(ISNUMBER(C$20),ROUND(C$20*10,0)=7),"●","")</f>
        <v/>
      </c>
      <c r="D12" s="105">
        <f>IF(AND(ISNUMBER(D$20),ROUND(D$20*10,0)=7),"●","")</f>
        <v/>
      </c>
      <c r="E12" s="105">
        <f>IF(AND(ISNUMBER(E$20),ROUND(E$20*10,0)=7),"●","")</f>
        <v/>
      </c>
      <c r="F12" s="105">
        <f>IF(AND(ISNUMBER(F$20),ROUND(F$20*10,0)=7),"●","")</f>
        <v/>
      </c>
      <c r="G12" s="105">
        <f>IF(AND(ISNUMBER(G$20),ROUND(G$20*10,0)=7),"●","")</f>
        <v/>
      </c>
      <c r="H12" s="105">
        <f>IF(AND(ISNUMBER(H$20),ROUND(H$20*10,0)=7),"●","")</f>
        <v/>
      </c>
      <c r="I12" s="105">
        <f>IF(AND(ISNUMBER(I$20),ROUND(I$20*10,0)=7),"●","")</f>
        <v/>
      </c>
      <c r="J12" s="105">
        <f>IF(AND(ISNUMBER(J$20),ROUND(J$20*10,0)=7),"●","")</f>
        <v/>
      </c>
      <c r="K12" s="105">
        <f>IF(AND(ISNUMBER(K$20),ROUND(K$20*10,0)=7),"●","")</f>
        <v/>
      </c>
      <c r="L12" s="105">
        <f>IF(AND(ISNUMBER(L$20),ROUND(L$20*10,0)=7),"●","")</f>
        <v/>
      </c>
      <c r="M12" s="105">
        <f>IF(AND(ISNUMBER(M$20),ROUND(M$20*10,0)=7),"●","")</f>
        <v/>
      </c>
      <c r="N12" s="106" t="inlineStr">
        <is>
          <t>Atenção</t>
        </is>
      </c>
    </row>
    <row r="13" ht="15" customHeight="1">
      <c r="A13" s="99" t="n">
        <v>0.6</v>
      </c>
      <c r="B13" s="107">
        <f>IF(AND(ISNUMBER(B$20),ROUND(B$20*10,0)=6),"●","")</f>
        <v/>
      </c>
      <c r="C13" s="107">
        <f>IF(AND(ISNUMBER(C$20),ROUND(C$20*10,0)=6),"●","")</f>
        <v/>
      </c>
      <c r="D13" s="107">
        <f>IF(AND(ISNUMBER(D$20),ROUND(D$20*10,0)=6),"●","")</f>
        <v/>
      </c>
      <c r="E13" s="107">
        <f>IF(AND(ISNUMBER(E$20),ROUND(E$20*10,0)=6),"●","")</f>
        <v/>
      </c>
      <c r="F13" s="107">
        <f>IF(AND(ISNUMBER(F$20),ROUND(F$20*10,0)=6),"●","")</f>
        <v/>
      </c>
      <c r="G13" s="107">
        <f>IF(AND(ISNUMBER(G$20),ROUND(G$20*10,0)=6),"●","")</f>
        <v/>
      </c>
      <c r="H13" s="107">
        <f>IF(AND(ISNUMBER(H$20),ROUND(H$20*10,0)=6),"●","")</f>
        <v/>
      </c>
      <c r="I13" s="107">
        <f>IF(AND(ISNUMBER(I$20),ROUND(I$20*10,0)=6),"●","")</f>
        <v/>
      </c>
      <c r="J13" s="107">
        <f>IF(AND(ISNUMBER(J$20),ROUND(J$20*10,0)=6),"●","")</f>
        <v/>
      </c>
      <c r="K13" s="107">
        <f>IF(AND(ISNUMBER(K$20),ROUND(K$20*10,0)=6),"●","")</f>
        <v/>
      </c>
      <c r="L13" s="107">
        <f>IF(AND(ISNUMBER(L$20),ROUND(L$20*10,0)=6),"●","")</f>
        <v/>
      </c>
      <c r="M13" s="107">
        <f>IF(AND(ISNUMBER(M$20),ROUND(M$20*10,0)=6),"●","")</f>
        <v/>
      </c>
      <c r="N13" s="108" t="n"/>
    </row>
    <row r="14" ht="15" customHeight="1">
      <c r="A14" s="99" t="n">
        <v>0.5</v>
      </c>
      <c r="B14" s="109">
        <f>IF(AND(ISNUMBER(B$20),ROUND(B$20*10,0)=5),"●","")</f>
        <v/>
      </c>
      <c r="C14" s="109">
        <f>IF(AND(ISNUMBER(C$20),ROUND(C$20*10,0)=5),"●","")</f>
        <v/>
      </c>
      <c r="D14" s="109">
        <f>IF(AND(ISNUMBER(D$20),ROUND(D$20*10,0)=5),"●","")</f>
        <v/>
      </c>
      <c r="E14" s="109">
        <f>IF(AND(ISNUMBER(E$20),ROUND(E$20*10,0)=5),"●","")</f>
        <v/>
      </c>
      <c r="F14" s="109">
        <f>IF(AND(ISNUMBER(F$20),ROUND(F$20*10,0)=5),"●","")</f>
        <v/>
      </c>
      <c r="G14" s="109">
        <f>IF(AND(ISNUMBER(G$20),ROUND(G$20*10,0)=5),"●","")</f>
        <v/>
      </c>
      <c r="H14" s="109">
        <f>IF(AND(ISNUMBER(H$20),ROUND(H$20*10,0)=5),"●","")</f>
        <v/>
      </c>
      <c r="I14" s="109">
        <f>IF(AND(ISNUMBER(I$20),ROUND(I$20*10,0)=5),"●","")</f>
        <v/>
      </c>
      <c r="J14" s="109">
        <f>IF(AND(ISNUMBER(J$20),ROUND(J$20*10,0)=5),"●","")</f>
        <v/>
      </c>
      <c r="K14" s="109">
        <f>IF(AND(ISNUMBER(K$20),ROUND(K$20*10,0)=5),"●","")</f>
        <v/>
      </c>
      <c r="L14" s="109">
        <f>IF(AND(ISNUMBER(L$20),ROUND(L$20*10,0)=5),"●","")</f>
        <v/>
      </c>
      <c r="M14" s="109">
        <f>IF(AND(ISNUMBER(M$20),ROUND(M$20*10,0)=5),"●","")</f>
        <v/>
      </c>
      <c r="N14" s="108" t="n"/>
    </row>
    <row r="15" ht="15" customHeight="1">
      <c r="A15" s="99" t="n">
        <v>0.4</v>
      </c>
      <c r="B15" s="110">
        <f>IF(AND(ISNUMBER(B$20),ROUND(B$20*10,0)=4),"●","")</f>
        <v/>
      </c>
      <c r="C15" s="110">
        <f>IF(AND(ISNUMBER(C$20),ROUND(C$20*10,0)=4),"●","")</f>
        <v/>
      </c>
      <c r="D15" s="110">
        <f>IF(AND(ISNUMBER(D$20),ROUND(D$20*10,0)=4),"●","")</f>
        <v/>
      </c>
      <c r="E15" s="110">
        <f>IF(AND(ISNUMBER(E$20),ROUND(E$20*10,0)=4),"●","")</f>
        <v/>
      </c>
      <c r="F15" s="110">
        <f>IF(AND(ISNUMBER(F$20),ROUND(F$20*10,0)=4),"●","")</f>
        <v/>
      </c>
      <c r="G15" s="110">
        <f>IF(AND(ISNUMBER(G$20),ROUND(G$20*10,0)=4),"●","")</f>
        <v/>
      </c>
      <c r="H15" s="110">
        <f>IF(AND(ISNUMBER(H$20),ROUND(H$20*10,0)=4),"●","")</f>
        <v/>
      </c>
      <c r="I15" s="110">
        <f>IF(AND(ISNUMBER(I$20),ROUND(I$20*10,0)=4),"●","")</f>
        <v/>
      </c>
      <c r="J15" s="110">
        <f>IF(AND(ISNUMBER(J$20),ROUND(J$20*10,0)=4),"●","")</f>
        <v/>
      </c>
      <c r="K15" s="110">
        <f>IF(AND(ISNUMBER(K$20),ROUND(K$20*10,0)=4),"●","")</f>
        <v/>
      </c>
      <c r="L15" s="110">
        <f>IF(AND(ISNUMBER(L$20),ROUND(L$20*10,0)=4),"●","")</f>
        <v/>
      </c>
      <c r="M15" s="110">
        <f>IF(AND(ISNUMBER(M$20),ROUND(M$20*10,0)=4),"●","")</f>
        <v/>
      </c>
      <c r="N15" s="111" t="inlineStr">
        <is>
          <t>Crítico</t>
        </is>
      </c>
    </row>
    <row r="16" ht="15" customHeight="1">
      <c r="A16" s="99" t="n">
        <v>0.3</v>
      </c>
      <c r="B16" s="112">
        <f>IF(AND(ISNUMBER(B$20),ROUND(B$20*10,0)=3),"●","")</f>
        <v/>
      </c>
      <c r="C16" s="112">
        <f>IF(AND(ISNUMBER(C$20),ROUND(C$20*10,0)=3),"●","")</f>
        <v/>
      </c>
      <c r="D16" s="112">
        <f>IF(AND(ISNUMBER(D$20),ROUND(D$20*10,0)=3),"●","")</f>
        <v/>
      </c>
      <c r="E16" s="112">
        <f>IF(AND(ISNUMBER(E$20),ROUND(E$20*10,0)=3),"●","")</f>
        <v/>
      </c>
      <c r="F16" s="112">
        <f>IF(AND(ISNUMBER(F$20),ROUND(F$20*10,0)=3),"●","")</f>
        <v/>
      </c>
      <c r="G16" s="112">
        <f>IF(AND(ISNUMBER(G$20),ROUND(G$20*10,0)=3),"●","")</f>
        <v/>
      </c>
      <c r="H16" s="112">
        <f>IF(AND(ISNUMBER(H$20),ROUND(H$20*10,0)=3),"●","")</f>
        <v/>
      </c>
      <c r="I16" s="112">
        <f>IF(AND(ISNUMBER(I$20),ROUND(I$20*10,0)=3),"●","")</f>
        <v/>
      </c>
      <c r="J16" s="112">
        <f>IF(AND(ISNUMBER(J$20),ROUND(J$20*10,0)=3),"●","")</f>
        <v/>
      </c>
      <c r="K16" s="112">
        <f>IF(AND(ISNUMBER(K$20),ROUND(K$20*10,0)=3),"●","")</f>
        <v/>
      </c>
      <c r="L16" s="112">
        <f>IF(AND(ISNUMBER(L$20),ROUND(L$20*10,0)=3),"●","")</f>
        <v/>
      </c>
      <c r="M16" s="112">
        <f>IF(AND(ISNUMBER(M$20),ROUND(M$20*10,0)=3),"●","")</f>
        <v/>
      </c>
      <c r="N16" s="113" t="n"/>
    </row>
    <row r="17" ht="15" customHeight="1">
      <c r="A17" s="99" t="n">
        <v>0.2</v>
      </c>
      <c r="B17" s="114">
        <f>IF(AND(ISNUMBER(B$20),ROUND(B$20*10,0)=2),"●","")</f>
        <v/>
      </c>
      <c r="C17" s="114">
        <f>IF(AND(ISNUMBER(C$20),ROUND(C$20*10,0)=2),"●","")</f>
        <v/>
      </c>
      <c r="D17" s="114">
        <f>IF(AND(ISNUMBER(D$20),ROUND(D$20*10,0)=2),"●","")</f>
        <v/>
      </c>
      <c r="E17" s="114">
        <f>IF(AND(ISNUMBER(E$20),ROUND(E$20*10,0)=2),"●","")</f>
        <v/>
      </c>
      <c r="F17" s="114">
        <f>IF(AND(ISNUMBER(F$20),ROUND(F$20*10,0)=2),"●","")</f>
        <v/>
      </c>
      <c r="G17" s="114">
        <f>IF(AND(ISNUMBER(G$20),ROUND(G$20*10,0)=2),"●","")</f>
        <v/>
      </c>
      <c r="H17" s="114">
        <f>IF(AND(ISNUMBER(H$20),ROUND(H$20*10,0)=2),"●","")</f>
        <v/>
      </c>
      <c r="I17" s="114">
        <f>IF(AND(ISNUMBER(I$20),ROUND(I$20*10,0)=2),"●","")</f>
        <v/>
      </c>
      <c r="J17" s="114">
        <f>IF(AND(ISNUMBER(J$20),ROUND(J$20*10,0)=2),"●","")</f>
        <v/>
      </c>
      <c r="K17" s="114">
        <f>IF(AND(ISNUMBER(K$20),ROUND(K$20*10,0)=2),"●","")</f>
        <v/>
      </c>
      <c r="L17" s="114">
        <f>IF(AND(ISNUMBER(L$20),ROUND(L$20*10,0)=2),"●","")</f>
        <v/>
      </c>
      <c r="M17" s="114">
        <f>IF(AND(ISNUMBER(M$20),ROUND(M$20*10,0)=2),"●","")</f>
        <v/>
      </c>
      <c r="N17" s="113" t="n"/>
    </row>
    <row r="18" ht="15" customHeight="1">
      <c r="A18" s="99" t="n">
        <v>0.1</v>
      </c>
      <c r="B18" s="115">
        <f>IF(AND(ISNUMBER(B$20),ROUND(B$20*10,0)=1),"●","")</f>
        <v/>
      </c>
      <c r="C18" s="115">
        <f>IF(AND(ISNUMBER(C$20),ROUND(C$20*10,0)=1),"●","")</f>
        <v/>
      </c>
      <c r="D18" s="115">
        <f>IF(AND(ISNUMBER(D$20),ROUND(D$20*10,0)=1),"●","")</f>
        <v/>
      </c>
      <c r="E18" s="115">
        <f>IF(AND(ISNUMBER(E$20),ROUND(E$20*10,0)=1),"●","")</f>
        <v/>
      </c>
      <c r="F18" s="115">
        <f>IF(AND(ISNUMBER(F$20),ROUND(F$20*10,0)=1),"●","")</f>
        <v/>
      </c>
      <c r="G18" s="115">
        <f>IF(AND(ISNUMBER(G$20),ROUND(G$20*10,0)=1),"●","")</f>
        <v/>
      </c>
      <c r="H18" s="115">
        <f>IF(AND(ISNUMBER(H$20),ROUND(H$20*10,0)=1),"●","")</f>
        <v/>
      </c>
      <c r="I18" s="115">
        <f>IF(AND(ISNUMBER(I$20),ROUND(I$20*10,0)=1),"●","")</f>
        <v/>
      </c>
      <c r="J18" s="115">
        <f>IF(AND(ISNUMBER(J$20),ROUND(J$20*10,0)=1),"●","")</f>
        <v/>
      </c>
      <c r="K18" s="115">
        <f>IF(AND(ISNUMBER(K$20),ROUND(K$20*10,0)=1),"●","")</f>
        <v/>
      </c>
      <c r="L18" s="115">
        <f>IF(AND(ISNUMBER(L$20),ROUND(L$20*10,0)=1),"●","")</f>
        <v/>
      </c>
      <c r="M18" s="115">
        <f>IF(AND(ISNUMBER(M$20),ROUND(M$20*10,0)=1),"●","")</f>
        <v/>
      </c>
      <c r="N18" s="113" t="n"/>
    </row>
    <row r="19" ht="15" customHeight="1">
      <c r="A19" s="99" t="n">
        <v>0</v>
      </c>
      <c r="B19" s="116">
        <f>IF(AND(ISNUMBER(B$20),ROUND(B$20*10,0)=0),"●","")</f>
        <v/>
      </c>
      <c r="C19" s="116">
        <f>IF(AND(ISNUMBER(C$20),ROUND(C$20*10,0)=0),"●","")</f>
        <v/>
      </c>
      <c r="D19" s="116">
        <f>IF(AND(ISNUMBER(D$20),ROUND(D$20*10,0)=0),"●","")</f>
        <v/>
      </c>
      <c r="E19" s="116">
        <f>IF(AND(ISNUMBER(E$20),ROUND(E$20*10,0)=0),"●","")</f>
        <v/>
      </c>
      <c r="F19" s="116">
        <f>IF(AND(ISNUMBER(F$20),ROUND(F$20*10,0)=0),"●","")</f>
        <v/>
      </c>
      <c r="G19" s="116">
        <f>IF(AND(ISNUMBER(G$20),ROUND(G$20*10,0)=0),"●","")</f>
        <v/>
      </c>
      <c r="H19" s="116">
        <f>IF(AND(ISNUMBER(H$20),ROUND(H$20*10,0)=0),"●","")</f>
        <v/>
      </c>
      <c r="I19" s="116">
        <f>IF(AND(ISNUMBER(I$20),ROUND(I$20*10,0)=0),"●","")</f>
        <v/>
      </c>
      <c r="J19" s="116">
        <f>IF(AND(ISNUMBER(J$20),ROUND(J$20*10,0)=0),"●","")</f>
        <v/>
      </c>
      <c r="K19" s="116">
        <f>IF(AND(ISNUMBER(K$20),ROUND(K$20*10,0)=0),"●","")</f>
        <v/>
      </c>
      <c r="L19" s="116">
        <f>IF(AND(ISNUMBER(L$20),ROUND(L$20*10,0)=0),"●","")</f>
        <v/>
      </c>
      <c r="M19" s="116">
        <f>IF(AND(ISNUMBER(M$20),ROUND(M$20*10,0)=0),"●","")</f>
        <v/>
      </c>
      <c r="N19" s="113" t="n"/>
    </row>
    <row r="20" ht="22" customHeight="1">
      <c r="A20" s="117" t="inlineStr">
        <is>
          <t>Nota geral</t>
        </is>
      </c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73" t="n"/>
    </row>
    <row r="21" ht="20" customHeight="1">
      <c r="A21" s="97" t="inlineStr">
        <is>
          <t>Variação</t>
        </is>
      </c>
      <c r="B21" s="119" t="n"/>
      <c r="C21" s="120">
        <f>IF(AND(ISNUMBER(B20),ISNUMBER(C20)),IF(C20&gt;B20,"▲ "&amp;TEXT(C20-B20,"0%"),IF(C20&lt;B20,"▼ "&amp;TEXT(B20-C20,"0%"),"=")),"")</f>
        <v/>
      </c>
      <c r="D21" s="120">
        <f>IF(AND(ISNUMBER(C20),ISNUMBER(D20)),IF(D20&gt;C20,"▲ "&amp;TEXT(D20-C20,"0%"),IF(D20&lt;C20,"▼ "&amp;TEXT(C20-D20,"0%"),"=")),"")</f>
        <v/>
      </c>
      <c r="E21" s="120">
        <f>IF(AND(ISNUMBER(D20),ISNUMBER(E20)),IF(E20&gt;D20,"▲ "&amp;TEXT(E20-D20,"0%"),IF(E20&lt;D20,"▼ "&amp;TEXT(D20-E20,"0%"),"=")),"")</f>
        <v/>
      </c>
      <c r="F21" s="120">
        <f>IF(AND(ISNUMBER(E20),ISNUMBER(F20)),IF(F20&gt;E20,"▲ "&amp;TEXT(F20-E20,"0%"),IF(F20&lt;E20,"▼ "&amp;TEXT(E20-F20,"0%"),"=")),"")</f>
        <v/>
      </c>
      <c r="G21" s="120">
        <f>IF(AND(ISNUMBER(F20),ISNUMBER(G20)),IF(G20&gt;F20,"▲ "&amp;TEXT(G20-F20,"0%"),IF(G20&lt;F20,"▼ "&amp;TEXT(F20-G20,"0%"),"=")),"")</f>
        <v/>
      </c>
      <c r="H21" s="120">
        <f>IF(AND(ISNUMBER(G20),ISNUMBER(H20)),IF(H20&gt;G20,"▲ "&amp;TEXT(H20-G20,"0%"),IF(H20&lt;G20,"▼ "&amp;TEXT(G20-H20,"0%"),"=")),"")</f>
        <v/>
      </c>
      <c r="I21" s="120">
        <f>IF(AND(ISNUMBER(H20),ISNUMBER(I20)),IF(I20&gt;H20,"▲ "&amp;TEXT(I20-H20,"0%"),IF(I20&lt;H20,"▼ "&amp;TEXT(H20-I20,"0%"),"=")),"")</f>
        <v/>
      </c>
      <c r="J21" s="120">
        <f>IF(AND(ISNUMBER(I20),ISNUMBER(J20)),IF(J20&gt;I20,"▲ "&amp;TEXT(J20-I20,"0%"),IF(J20&lt;I20,"▼ "&amp;TEXT(I20-J20,"0%"),"=")),"")</f>
        <v/>
      </c>
      <c r="K21" s="120">
        <f>IF(AND(ISNUMBER(J20),ISNUMBER(K20)),IF(K20&gt;J20,"▲ "&amp;TEXT(K20-J20,"0%"),IF(K20&lt;J20,"▼ "&amp;TEXT(J20-K20,"0%"),"=")),"")</f>
        <v/>
      </c>
      <c r="L21" s="120">
        <f>IF(AND(ISNUMBER(K20),ISNUMBER(L20)),IF(L20&gt;K20,"▲ "&amp;TEXT(L20-K20,"0%"),IF(L20&lt;K20,"▼ "&amp;TEXT(K20-L20,"0%"),"=")),"")</f>
        <v/>
      </c>
      <c r="M21" s="120">
        <f>IF(AND(ISNUMBER(L20),ISNUMBER(M20)),IF(M20&gt;L20,"▲ "&amp;TEXT(M20-L20,"0%"),IF(M20&lt;L20,"▼ "&amp;TEXT(L20-M20,"0%"),"=")),"")</f>
        <v/>
      </c>
      <c r="N21" s="76" t="n"/>
    </row>
    <row r="22" ht="8" customHeight="1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</row>
    <row r="23" ht="22" customHeight="1">
      <c r="A23" s="52" t="inlineStr">
        <is>
          <r>
            <rPr>
              <rFont val="Arial"/>
              <b val="1"/>
              <color rgb="00FFFFFF"/>
              <sz val="10"/>
            </rPr>
            <t>Ações 5S</t>
          </r>
          <r>
            <rPr>
              <rFont val="Arial"/>
              <color rgb="00D3DEEC"/>
              <sz val="8"/>
            </rPr>
            <t xml:space="preserve">   cada problema achado na auditoria vira uma ação com dono e prazo</t>
          </r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53" t="n"/>
    </row>
    <row r="24" ht="26" customHeight="1">
      <c r="A24" s="94" t="inlineStr">
        <is>
          <t>Data</t>
        </is>
      </c>
      <c r="B24" s="95" t="inlineStr">
        <is>
          <t>Aberta por</t>
        </is>
      </c>
      <c r="C24" s="9" t="n"/>
      <c r="D24" s="95" t="inlineStr">
        <is>
          <t>Problema 5S</t>
        </is>
      </c>
      <c r="E24" s="9" t="n"/>
      <c r="F24" s="9" t="n"/>
      <c r="G24" s="95" t="inlineStr">
        <is>
          <t>Responsável</t>
        </is>
      </c>
      <c r="H24" s="9" t="n"/>
      <c r="I24" s="95" t="inlineStr">
        <is>
          <t>Ação</t>
        </is>
      </c>
      <c r="J24" s="9" t="n"/>
      <c r="K24" s="9" t="n"/>
      <c r="L24" s="95" t="inlineStr">
        <is>
          <t>Prazo</t>
        </is>
      </c>
      <c r="M24" s="95" t="inlineStr">
        <is>
          <t>Situação</t>
        </is>
      </c>
      <c r="N24" s="96" t="inlineStr">
        <is>
          <t>Concluída em</t>
        </is>
      </c>
    </row>
    <row r="25" ht="22" customHeight="1">
      <c r="A25" s="121" t="n"/>
      <c r="B25" s="55" t="n"/>
      <c r="C25" s="122" t="n"/>
      <c r="D25" s="55" t="n"/>
      <c r="E25" s="122" t="n"/>
      <c r="F25" s="122" t="n"/>
      <c r="G25" s="55" t="n"/>
      <c r="H25" s="122" t="n"/>
      <c r="I25" s="55" t="n"/>
      <c r="J25" s="122" t="n"/>
      <c r="K25" s="122" t="n"/>
      <c r="L25" s="123" t="n"/>
      <c r="M25" s="124" t="n"/>
      <c r="N25" s="125" t="n"/>
    </row>
    <row r="26" ht="22" customHeight="1">
      <c r="A26" s="121" t="n"/>
      <c r="B26" s="55" t="n"/>
      <c r="C26" s="122" t="n"/>
      <c r="D26" s="55" t="n"/>
      <c r="E26" s="122" t="n"/>
      <c r="F26" s="122" t="n"/>
      <c r="G26" s="55" t="n"/>
      <c r="H26" s="122" t="n"/>
      <c r="I26" s="55" t="n"/>
      <c r="J26" s="122" t="n"/>
      <c r="K26" s="122" t="n"/>
      <c r="L26" s="123" t="n"/>
      <c r="M26" s="124" t="n"/>
      <c r="N26" s="125" t="n"/>
    </row>
    <row r="27" ht="22" customHeight="1">
      <c r="A27" s="121" t="n"/>
      <c r="B27" s="55" t="n"/>
      <c r="C27" s="122" t="n"/>
      <c r="D27" s="55" t="n"/>
      <c r="E27" s="122" t="n"/>
      <c r="F27" s="122" t="n"/>
      <c r="G27" s="55" t="n"/>
      <c r="H27" s="122" t="n"/>
      <c r="I27" s="55" t="n"/>
      <c r="J27" s="122" t="n"/>
      <c r="K27" s="122" t="n"/>
      <c r="L27" s="123" t="n"/>
      <c r="M27" s="124" t="n"/>
      <c r="N27" s="125" t="n"/>
    </row>
    <row r="28" ht="22" customHeight="1">
      <c r="A28" s="121" t="n"/>
      <c r="B28" s="55" t="n"/>
      <c r="C28" s="122" t="n"/>
      <c r="D28" s="55" t="n"/>
      <c r="E28" s="122" t="n"/>
      <c r="F28" s="122" t="n"/>
      <c r="G28" s="55" t="n"/>
      <c r="H28" s="122" t="n"/>
      <c r="I28" s="55" t="n"/>
      <c r="J28" s="122" t="n"/>
      <c r="K28" s="122" t="n"/>
      <c r="L28" s="123" t="n"/>
      <c r="M28" s="124" t="n"/>
      <c r="N28" s="125" t="n"/>
    </row>
    <row r="29" ht="22" customHeight="1">
      <c r="A29" s="121" t="n"/>
      <c r="B29" s="55" t="n"/>
      <c r="C29" s="122" t="n"/>
      <c r="D29" s="55" t="n"/>
      <c r="E29" s="122" t="n"/>
      <c r="F29" s="122" t="n"/>
      <c r="G29" s="55" t="n"/>
      <c r="H29" s="122" t="n"/>
      <c r="I29" s="55" t="n"/>
      <c r="J29" s="122" t="n"/>
      <c r="K29" s="122" t="n"/>
      <c r="L29" s="123" t="n"/>
      <c r="M29" s="124" t="n"/>
      <c r="N29" s="125" t="n"/>
    </row>
    <row r="30" ht="22" customHeight="1">
      <c r="A30" s="121" t="n"/>
      <c r="B30" s="55" t="n"/>
      <c r="C30" s="122" t="n"/>
      <c r="D30" s="55" t="n"/>
      <c r="E30" s="122" t="n"/>
      <c r="F30" s="122" t="n"/>
      <c r="G30" s="55" t="n"/>
      <c r="H30" s="122" t="n"/>
      <c r="I30" s="55" t="n"/>
      <c r="J30" s="122" t="n"/>
      <c r="K30" s="122" t="n"/>
      <c r="L30" s="123" t="n"/>
      <c r="M30" s="124" t="n"/>
      <c r="N30" s="125" t="n"/>
    </row>
    <row r="31" ht="22" customHeight="1">
      <c r="A31" s="121" t="n"/>
      <c r="B31" s="55" t="n"/>
      <c r="C31" s="122" t="n"/>
      <c r="D31" s="55" t="n"/>
      <c r="E31" s="122" t="n"/>
      <c r="F31" s="122" t="n"/>
      <c r="G31" s="55" t="n"/>
      <c r="H31" s="122" t="n"/>
      <c r="I31" s="55" t="n"/>
      <c r="J31" s="122" t="n"/>
      <c r="K31" s="122" t="n"/>
      <c r="L31" s="123" t="n"/>
      <c r="M31" s="124" t="n"/>
      <c r="N31" s="125" t="n"/>
    </row>
    <row r="32" ht="22" customHeight="1">
      <c r="A32" s="121" t="n"/>
      <c r="B32" s="55" t="n"/>
      <c r="C32" s="122" t="n"/>
      <c r="D32" s="55" t="n"/>
      <c r="E32" s="122" t="n"/>
      <c r="F32" s="122" t="n"/>
      <c r="G32" s="55" t="n"/>
      <c r="H32" s="122" t="n"/>
      <c r="I32" s="55" t="n"/>
      <c r="J32" s="122" t="n"/>
      <c r="K32" s="122" t="n"/>
      <c r="L32" s="123" t="n"/>
      <c r="M32" s="124" t="n"/>
      <c r="N32" s="125" t="n"/>
    </row>
    <row r="33" ht="22" customHeight="1">
      <c r="A33" s="121" t="n"/>
      <c r="B33" s="55" t="n"/>
      <c r="C33" s="122" t="n"/>
      <c r="D33" s="55" t="n"/>
      <c r="E33" s="122" t="n"/>
      <c r="F33" s="122" t="n"/>
      <c r="G33" s="55" t="n"/>
      <c r="H33" s="122" t="n"/>
      <c r="I33" s="55" t="n"/>
      <c r="J33" s="122" t="n"/>
      <c r="K33" s="122" t="n"/>
      <c r="L33" s="123" t="n"/>
      <c r="M33" s="124" t="n"/>
      <c r="N33" s="125" t="n"/>
    </row>
    <row r="34" ht="22" customHeight="1">
      <c r="A34" s="121" t="n"/>
      <c r="B34" s="55" t="n"/>
      <c r="C34" s="122" t="n"/>
      <c r="D34" s="55" t="n"/>
      <c r="E34" s="122" t="n"/>
      <c r="F34" s="122" t="n"/>
      <c r="G34" s="55" t="n"/>
      <c r="H34" s="122" t="n"/>
      <c r="I34" s="55" t="n"/>
      <c r="J34" s="122" t="n"/>
      <c r="K34" s="122" t="n"/>
      <c r="L34" s="123" t="n"/>
      <c r="M34" s="124" t="n"/>
      <c r="N34" s="125" t="n"/>
    </row>
    <row r="35" ht="22" customHeight="1">
      <c r="A35" s="121" t="n"/>
      <c r="B35" s="55" t="n"/>
      <c r="C35" s="122" t="n"/>
      <c r="D35" s="55" t="n"/>
      <c r="E35" s="122" t="n"/>
      <c r="F35" s="122" t="n"/>
      <c r="G35" s="55" t="n"/>
      <c r="H35" s="122" t="n"/>
      <c r="I35" s="55" t="n"/>
      <c r="J35" s="122" t="n"/>
      <c r="K35" s="122" t="n"/>
      <c r="L35" s="123" t="n"/>
      <c r="M35" s="124" t="n"/>
      <c r="N35" s="125" t="n"/>
    </row>
    <row r="36" ht="22" customHeight="1">
      <c r="A36" s="121" t="n"/>
      <c r="B36" s="55" t="n"/>
      <c r="C36" s="122" t="n"/>
      <c r="D36" s="55" t="n"/>
      <c r="E36" s="122" t="n"/>
      <c r="F36" s="122" t="n"/>
      <c r="G36" s="55" t="n"/>
      <c r="H36" s="122" t="n"/>
      <c r="I36" s="55" t="n"/>
      <c r="J36" s="122" t="n"/>
      <c r="K36" s="122" t="n"/>
      <c r="L36" s="123" t="n"/>
      <c r="M36" s="124" t="n"/>
      <c r="N36" s="125" t="n"/>
    </row>
    <row r="37" ht="20" customHeight="1">
      <c r="A37" s="126" t="inlineStr">
        <is>
          <r>
            <rPr>
              <rFont val="Arial"/>
              <b val="1"/>
              <color rgb="000B2A5B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nota da auditoria      </t>
          </r>
          <r>
            <rPr>
              <rFont val="Arial"/>
              <b val="1"/>
              <color rgb="000B2A5B"/>
              <sz val="10"/>
            </rPr>
            <t xml:space="preserve">■ </t>
          </r>
          <r>
            <rPr>
              <rFont val="Arial"/>
              <b val="1"/>
              <color rgb="006B7686"/>
              <sz val="8"/>
            </rPr>
            <t xml:space="preserve">meta da área 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>prazo vencido</t>
          </r>
        </is>
      </c>
    </row>
  </sheetData>
  <mergeCells count="71">
    <mergeCell ref="I32:K32"/>
    <mergeCell ref="C1:K1"/>
    <mergeCell ref="D27:F27"/>
    <mergeCell ref="B25:C25"/>
    <mergeCell ref="I28:K28"/>
    <mergeCell ref="A4:D4"/>
    <mergeCell ref="D32:F32"/>
    <mergeCell ref="G27:H27"/>
    <mergeCell ref="G36:H36"/>
    <mergeCell ref="B31:C31"/>
    <mergeCell ref="B27:C27"/>
    <mergeCell ref="N9:N11"/>
    <mergeCell ref="I33:K33"/>
    <mergeCell ref="L1:N1"/>
    <mergeCell ref="K4:N4"/>
    <mergeCell ref="I24:K24"/>
    <mergeCell ref="A6:N6"/>
    <mergeCell ref="D28:F28"/>
    <mergeCell ref="C2:K2"/>
    <mergeCell ref="E3:H3"/>
    <mergeCell ref="K3:N3"/>
    <mergeCell ref="N15:N19"/>
    <mergeCell ref="G28:H28"/>
    <mergeCell ref="I35:K35"/>
    <mergeCell ref="D30:F30"/>
    <mergeCell ref="D25:F25"/>
    <mergeCell ref="A37:N37"/>
    <mergeCell ref="I29:K29"/>
    <mergeCell ref="D33:F33"/>
    <mergeCell ref="D24:F24"/>
    <mergeCell ref="I3:J3"/>
    <mergeCell ref="G34:H34"/>
    <mergeCell ref="D29:F29"/>
    <mergeCell ref="B29:C29"/>
    <mergeCell ref="G24:H24"/>
    <mergeCell ref="G30:H30"/>
    <mergeCell ref="G33:H33"/>
    <mergeCell ref="E4:H4"/>
    <mergeCell ref="B34:C34"/>
    <mergeCell ref="B28:C28"/>
    <mergeCell ref="I31:K31"/>
    <mergeCell ref="D35:F35"/>
    <mergeCell ref="D26:F26"/>
    <mergeCell ref="I34:K34"/>
    <mergeCell ref="A1:B2"/>
    <mergeCell ref="A23:N23"/>
    <mergeCell ref="I30:K30"/>
    <mergeCell ref="L2:N2"/>
    <mergeCell ref="G26:H26"/>
    <mergeCell ref="D34:F34"/>
    <mergeCell ref="G29:H29"/>
    <mergeCell ref="G35:H35"/>
    <mergeCell ref="B24:C24"/>
    <mergeCell ref="I4:J4"/>
    <mergeCell ref="B30:C30"/>
    <mergeCell ref="N12:N14"/>
    <mergeCell ref="B33:C33"/>
    <mergeCell ref="I36:K36"/>
    <mergeCell ref="I27:K27"/>
    <mergeCell ref="D31:F31"/>
    <mergeCell ref="A3:D3"/>
    <mergeCell ref="G25:H25"/>
    <mergeCell ref="G32:H32"/>
    <mergeCell ref="D36:F36"/>
    <mergeCell ref="B36:C36"/>
    <mergeCell ref="I26:K26"/>
    <mergeCell ref="G31:H31"/>
    <mergeCell ref="B32:C32"/>
    <mergeCell ref="B26:C26"/>
    <mergeCell ref="B35:C35"/>
    <mergeCell ref="I25:K25"/>
  </mergeCells>
  <conditionalFormatting sqref="A9:A19">
    <cfRule type="expression" priority="1" dxfId="5" stopIfTrue="1">
      <formula>AND(ISNUMBER($I$4),ROUND($A9*10,0)=ROUND($I$4*10,0))</formula>
    </cfRule>
  </conditionalFormatting>
  <conditionalFormatting sqref="C21:M21">
    <cfRule type="expression" priority="2" dxfId="6" stopIfTrue="1">
      <formula>LEFT(C21,1)="▲"</formula>
    </cfRule>
    <cfRule type="expression" priority="3" dxfId="1" stopIfTrue="1">
      <formula>LEFT(C21,1)="▼"</formula>
    </cfRule>
  </conditionalFormatting>
  <conditionalFormatting sqref="K4">
    <cfRule type="expression" priority="4" dxfId="6" stopIfTrue="1">
      <formula>LEFT($K$4,1)="▲"</formula>
    </cfRule>
    <cfRule type="expression" priority="5" dxfId="1" stopIfTrue="1">
      <formula>LEFT($K$4,1)="▼"</formula>
    </cfRule>
  </conditionalFormatting>
  <conditionalFormatting sqref="L25:L36">
    <cfRule type="expression" priority="6" dxfId="1" stopIfTrue="1">
      <formula>AND(ISNUMBER(L25),L25&lt;TODAY(),$M25&lt;&gt;"Concluída",$M25&lt;&gt;"Cancelada")</formula>
    </cfRule>
  </conditionalFormatting>
  <conditionalFormatting sqref="M25:M36">
    <cfRule type="expression" priority="7" dxfId="2" stopIfTrue="1">
      <formula>M25="Aberta"</formula>
    </cfRule>
    <cfRule type="expression" priority="8" dxfId="7" stopIfTrue="1">
      <formula>M25="Em andamento"</formula>
    </cfRule>
    <cfRule type="expression" priority="9" dxfId="6" stopIfTrue="1">
      <formula>M25="Concluída"</formula>
    </cfRule>
    <cfRule type="expression" priority="10" dxfId="8" stopIfTrue="1">
      <formula>M25="Cancelada"</formula>
    </cfRule>
  </conditionalFormatting>
  <dataValidations count="10">
    <dataValidation sqref="E4" showDropDown="0" showInputMessage="0" showErrorMessage="1" allowBlank="1" errorTitle="Valor fora da lista" error="Escolha um item da lista." type="list" errorStyle="stop">
      <formula1>L_PESSOAS</formula1>
    </dataValidation>
    <dataValidation sqref="I4" showDropDown="0" showInputMessage="0" showErrorMessage="1" allowBlank="1" errorTitle="Número inválido" error="Digite um número de 0 a 1." type="decimal" errorStyle="stop" operator="between">
      <formula1>0</formula1>
      <formula2>1</formula2>
    </dataValidation>
    <dataValidation sqref="B8:M8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B20:M20" showDropDown="0" showInputMessage="0" showErrorMessage="1" allowBlank="1" errorTitle="Número inválido" error="Digite um número de 0 a 1." type="decimal" errorStyle="stop" operator="between">
      <formula1>0</formula1>
      <formula2>1</formula2>
    </dataValidation>
    <dataValidation sqref="A25:A3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L25:L3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N25:N3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B25:B36" showDropDown="0" showInputMessage="0" showErrorMessage="1" allowBlank="1" errorTitle="Valor fora da lista" error="Escolha um item da lista." type="list" errorStyle="stop">
      <formula1>L_PESSOAS</formula1>
    </dataValidation>
    <dataValidation sqref="G25:G36" showDropDown="0" showInputMessage="0" showErrorMessage="1" allowBlank="1" errorTitle="Valor fora da lista" error="Escolha um item da lista." type="list" errorStyle="stop">
      <formula1>L_PESSOAS</formula1>
    </dataValidation>
    <dataValidation sqref="M25:M36" showDropDown="0" showInputMessage="0" showErrorMessage="1" allowBlank="1" errorTitle="Valor fora da lista" error="Escolha um item da lista." type="list" errorStyle="stop">
      <formula1>"Aberta,Em andamento,Concluída,Cancelada"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E32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3.4" customWidth="1" min="2" max="2"/>
    <col width="18.6" customWidth="1" min="3" max="3"/>
    <col width="22" customWidth="1" min="4" max="4"/>
    <col width="32" customWidth="1" min="5" max="5"/>
  </cols>
  <sheetData>
    <row r="1" ht="30.75" customHeight="1">
      <c r="A1" s="127" t="n"/>
      <c r="B1" s="128" t="inlineStr">
        <is>
          <t>Melhoria antes e depois</t>
        </is>
      </c>
      <c r="C1" s="129" t="n"/>
      <c r="D1" s="130" t="n"/>
      <c r="E1" s="131">
        <f>"Rev. "&amp;'Leia-me'!$D$15&amp;"   ·   "&amp;'Leia-me'!$D$16</f>
        <v/>
      </c>
    </row>
    <row r="2" ht="31" customHeight="1">
      <c r="A2" s="132" t="n"/>
      <c r="B2" s="133" t="inlineStr">
        <is>
          <t>Objetivo: Mostrar a melhoria feita com foto do antes e do depois</t>
        </is>
      </c>
      <c r="C2" s="134" t="n"/>
      <c r="D2" s="135" t="n"/>
      <c r="E2" s="133">
        <f>"Elaborado: "&amp;'Leia-me'!$D$13&amp;"   ·   Aprovado: "&amp;'Leia-me'!$D$14</f>
        <v/>
      </c>
    </row>
    <row r="3" ht="12" customHeight="1">
      <c r="A3" s="85" t="inlineStr">
        <is>
          <t>Nº da melhoria</t>
        </is>
      </c>
      <c r="B3" s="87" t="inlineStr">
        <is>
          <t>TAG ▼</t>
        </is>
      </c>
      <c r="C3" s="87" t="inlineStr">
        <is>
          <t>Equipamento</t>
        </is>
      </c>
      <c r="D3" s="136" t="inlineStr">
        <is>
          <t>Responsável</t>
        </is>
      </c>
      <c r="E3" s="137" t="n"/>
    </row>
    <row r="4" ht="26" customHeight="1">
      <c r="A4" s="138" t="n"/>
      <c r="B4" s="139" t="n"/>
      <c r="C4" s="140">
        <f>IF(B4="","",IFERROR(INDEX(tb_pcm_ativos[descricao_ativo],MATCH(B4,tb_pcm_ativos[tag],0)),"fora do cadastro"))</f>
        <v/>
      </c>
      <c r="D4" s="139" t="n"/>
      <c r="E4" s="141" t="n"/>
    </row>
    <row r="5" ht="8" customHeight="1">
      <c r="A5" s="51" t="n"/>
      <c r="B5" s="51" t="n"/>
      <c r="D5" s="51" t="n"/>
      <c r="E5" s="51" t="n"/>
    </row>
    <row r="6" ht="22" customHeight="1">
      <c r="A6" s="142" t="inlineStr">
        <is>
          <r>
            <rPr>
              <rFont val="Arial"/>
              <b val="1"/>
              <color rgb="00FFFFFF"/>
              <sz val="10"/>
            </rPr>
            <t>1  Problema</t>
          </r>
          <r>
            <rPr>
              <rFont val="Arial"/>
              <color rgb="00D3DEEC"/>
              <sz val="8"/>
            </rPr>
            <t xml:space="preserve">   sujeira, acesso difícil ou falha</t>
          </r>
        </is>
      </c>
      <c r="B6" s="143" t="n"/>
      <c r="C6" s="143" t="n"/>
      <c r="D6" s="143" t="n"/>
      <c r="E6" s="137" t="n"/>
    </row>
    <row r="7" ht="12" customHeight="1">
      <c r="A7" s="144" t="inlineStr">
        <is>
          <t>O que incomodava</t>
        </is>
      </c>
      <c r="E7" s="145" t="n"/>
    </row>
    <row r="8" ht="22" customHeight="1">
      <c r="A8" s="146" t="n"/>
      <c r="B8" s="143" t="n"/>
      <c r="C8" s="143" t="n"/>
      <c r="D8" s="143" t="n"/>
      <c r="E8" s="137" t="n"/>
    </row>
    <row r="9" ht="22" customHeight="1">
      <c r="A9" s="147" t="n"/>
      <c r="B9" s="148" t="n"/>
      <c r="C9" s="148" t="n"/>
      <c r="D9" s="148" t="n"/>
      <c r="E9" s="149" t="n"/>
    </row>
    <row r="10" ht="8" customHeight="1">
      <c r="A10" s="51" t="n"/>
      <c r="B10" s="51" t="n"/>
      <c r="D10" s="51" t="n"/>
      <c r="E10" s="51" t="n"/>
    </row>
    <row r="11" ht="22" customHeight="1">
      <c r="A11" s="142" t="inlineStr">
        <is>
          <r>
            <rPr>
              <rFont val="Arial"/>
              <b val="1"/>
              <color rgb="00FFFFFF"/>
              <sz val="10"/>
            </rPr>
            <t>2  Antes e depois</t>
          </r>
          <r>
            <rPr>
              <rFont val="Arial"/>
              <color rgb="00D3DEEC"/>
              <sz val="8"/>
            </rPr>
            <t xml:space="preserve">   descreva e cole a foto em cada quadro</t>
          </r>
        </is>
      </c>
      <c r="B11" s="143" t="n"/>
      <c r="C11" s="143" t="n"/>
      <c r="D11" s="143" t="n"/>
      <c r="E11" s="137" t="n"/>
    </row>
    <row r="12" ht="12" customHeight="1">
      <c r="A12" s="150" t="inlineStr">
        <is>
          <t>Como era antes</t>
        </is>
      </c>
      <c r="D12" s="151" t="inlineStr">
        <is>
          <t>Como ficou depois</t>
        </is>
      </c>
      <c r="E12" s="145" t="n"/>
    </row>
    <row r="13" ht="22" customHeight="1">
      <c r="A13" s="146" t="n"/>
      <c r="B13" s="143" t="n"/>
      <c r="C13" s="137" t="n"/>
      <c r="D13" s="146" t="n"/>
      <c r="E13" s="137" t="n"/>
    </row>
    <row r="14" ht="22" customHeight="1">
      <c r="A14" s="147" t="n"/>
      <c r="B14" s="148" t="n"/>
      <c r="C14" s="149" t="n"/>
      <c r="D14" s="147" t="n"/>
      <c r="E14" s="149" t="n"/>
    </row>
    <row r="15" ht="26" customHeight="1">
      <c r="A15" s="152" t="inlineStr">
        <is>
          <t>Foto: antes</t>
        </is>
      </c>
      <c r="D15" s="153" t="inlineStr">
        <is>
          <t>Foto: depois</t>
        </is>
      </c>
      <c r="E15" s="145" t="n"/>
    </row>
    <row r="16" ht="20" customHeight="1">
      <c r="A16" s="22" t="n"/>
      <c r="B16" s="143" t="n"/>
      <c r="C16" s="137" t="n"/>
      <c r="D16" s="22" t="n"/>
      <c r="E16" s="137" t="n"/>
    </row>
    <row r="17" ht="20" customHeight="1">
      <c r="A17" s="154" t="n"/>
      <c r="C17" s="145" t="n"/>
      <c r="D17" s="154" t="n"/>
      <c r="E17" s="145" t="n"/>
    </row>
    <row r="18" ht="20" customHeight="1">
      <c r="A18" s="154" t="n"/>
      <c r="C18" s="145" t="n"/>
      <c r="D18" s="154" t="n"/>
      <c r="E18" s="145" t="n"/>
    </row>
    <row r="19" ht="20" customHeight="1">
      <c r="A19" s="154" t="n"/>
      <c r="C19" s="145" t="n"/>
      <c r="D19" s="154" t="n"/>
      <c r="E19" s="145" t="n"/>
    </row>
    <row r="20" ht="20" customHeight="1">
      <c r="A20" s="154" t="n"/>
      <c r="C20" s="145" t="n"/>
      <c r="D20" s="154" t="n"/>
      <c r="E20" s="145" t="n"/>
    </row>
    <row r="21" ht="20" customHeight="1">
      <c r="A21" s="154" t="n"/>
      <c r="C21" s="145" t="n"/>
      <c r="D21" s="154" t="n"/>
      <c r="E21" s="145" t="n"/>
    </row>
    <row r="22" ht="20" customHeight="1">
      <c r="A22" s="154" t="n"/>
      <c r="C22" s="145" t="n"/>
      <c r="D22" s="154" t="n"/>
      <c r="E22" s="145" t="n"/>
    </row>
    <row r="23" ht="20" customHeight="1">
      <c r="A23" s="154" t="n"/>
      <c r="C23" s="145" t="n"/>
      <c r="D23" s="154" t="n"/>
      <c r="E23" s="145" t="n"/>
    </row>
    <row r="24" ht="20" customHeight="1">
      <c r="A24" s="154" t="n"/>
      <c r="C24" s="145" t="n"/>
      <c r="D24" s="154" t="n"/>
      <c r="E24" s="145" t="n"/>
    </row>
    <row r="25" ht="20" customHeight="1">
      <c r="A25" s="154" t="n"/>
      <c r="C25" s="145" t="n"/>
      <c r="D25" s="154" t="n"/>
      <c r="E25" s="145" t="n"/>
    </row>
    <row r="26" ht="20" customHeight="1">
      <c r="A26" s="154" t="n"/>
      <c r="C26" s="145" t="n"/>
      <c r="D26" s="154" t="n"/>
      <c r="E26" s="145" t="n"/>
    </row>
    <row r="27" ht="20" customHeight="1">
      <c r="A27" s="147" t="n"/>
      <c r="B27" s="148" t="n"/>
      <c r="C27" s="149" t="n"/>
      <c r="D27" s="147" t="n"/>
      <c r="E27" s="149" t="n"/>
    </row>
    <row r="28" ht="8" customHeight="1">
      <c r="A28" s="51" t="n"/>
      <c r="B28" s="51" t="n"/>
      <c r="D28" s="51" t="n"/>
      <c r="E28" s="51" t="n"/>
    </row>
    <row r="29" ht="22" customHeight="1">
      <c r="A29" s="142" t="inlineStr">
        <is>
          <r>
            <rPr>
              <rFont val="Arial"/>
              <b val="1"/>
              <color rgb="00FFFFFF"/>
              <sz val="10"/>
            </rPr>
            <t>3  Ganho</t>
          </r>
          <r>
            <rPr>
              <rFont val="Arial"/>
              <color rgb="00D3DEEC"/>
              <sz val="8"/>
            </rPr>
            <t xml:space="preserve">   o que melhorou</t>
          </r>
        </is>
      </c>
      <c r="B29" s="143" t="n"/>
      <c r="C29" s="143" t="n"/>
      <c r="D29" s="143" t="n"/>
      <c r="E29" s="137" t="n"/>
    </row>
    <row r="30" ht="12" customHeight="1">
      <c r="A30" s="144" t="inlineStr">
        <is>
          <t>Resultado: tempo, custo, segurança ou qualidade</t>
        </is>
      </c>
      <c r="E30" s="145" t="n"/>
    </row>
    <row r="31" ht="22" customHeight="1">
      <c r="A31" s="146" t="n"/>
      <c r="B31" s="143" t="n"/>
      <c r="C31" s="143" t="n"/>
      <c r="D31" s="143" t="n"/>
      <c r="E31" s="137" t="n"/>
    </row>
    <row r="32" ht="22" customHeight="1">
      <c r="A32" s="147" t="n"/>
      <c r="B32" s="148" t="n"/>
      <c r="C32" s="148" t="n"/>
      <c r="D32" s="148" t="n"/>
      <c r="E32" s="149" t="n"/>
    </row>
  </sheetData>
  <mergeCells count="25">
    <mergeCell ref="A30:E30"/>
    <mergeCell ref="B1:D1"/>
    <mergeCell ref="A16:C27"/>
    <mergeCell ref="A11:E11"/>
    <mergeCell ref="A12:C12"/>
    <mergeCell ref="A6:E6"/>
    <mergeCell ref="A8:E9"/>
    <mergeCell ref="A7:E7"/>
    <mergeCell ref="D16:E27"/>
    <mergeCell ref="B10:C10"/>
    <mergeCell ref="B28:C28"/>
    <mergeCell ref="E1"/>
    <mergeCell ref="D4:E4"/>
    <mergeCell ref="A31:E32"/>
    <mergeCell ref="A15:C15"/>
    <mergeCell ref="D3:E3"/>
    <mergeCell ref="A1:A2"/>
    <mergeCell ref="D12:E12"/>
    <mergeCell ref="A29:E29"/>
    <mergeCell ref="D15:E15"/>
    <mergeCell ref="B5:C5"/>
    <mergeCell ref="A13:C14"/>
    <mergeCell ref="E2"/>
    <mergeCell ref="B2:D2"/>
    <mergeCell ref="D13:E14"/>
  </mergeCells>
  <dataValidations count="2">
    <dataValidation sqref="B4" showDropDown="0" showInputMessage="0" showErrorMessage="1" allowBlank="1" errorTitle="Valor fora da lista" error="Escolha um item da lista." type="list" errorStyle="stop">
      <formula1>L_TAGS</formula1>
    </dataValidation>
    <dataValidation sqref="D4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24" customWidth="1" min="3" max="3"/>
    <col width="3" customWidth="1" min="4" max="4"/>
    <col width="18" customWidth="1" min="5" max="5"/>
    <col width="34" customWidth="1" min="6" max="6"/>
    <col width="22" customWidth="1" min="7" max="7"/>
    <col width="20" customWidth="1" min="8" max="8"/>
    <col width="3" customWidth="1" min="9" max="9"/>
    <col width="30" customWidth="1" min="10" max="10"/>
  </cols>
  <sheetData>
    <row r="1" ht="30.75" customHeight="1">
      <c r="A1" s="155" t="n"/>
      <c r="B1" s="84" t="inlineStr">
        <is>
          <t>Cadastros</t>
        </is>
      </c>
      <c r="C1" s="42" t="n"/>
      <c r="D1" s="42" t="n"/>
      <c r="E1" s="42" t="n"/>
      <c r="F1" s="42" t="n"/>
      <c r="G1" s="40" t="n"/>
      <c r="H1" s="43">
        <f>"Rev. "&amp;'Leia-me'!$D$15&amp;"   ·   "&amp;'Leia-me'!$D$16</f>
        <v/>
      </c>
      <c r="I1" s="42" t="n"/>
      <c r="J1" s="40" t="n"/>
    </row>
    <row r="2" ht="28" customHeight="1">
      <c r="A2" s="156" t="n"/>
      <c r="B2" s="46" t="inlineStr">
        <is>
          <t>Objetivo: Cadastre aqui os itens usados nas listas (▼) das outras abas.</t>
        </is>
      </c>
      <c r="C2" s="47" t="n"/>
      <c r="D2" s="47" t="n"/>
      <c r="E2" s="47" t="n"/>
      <c r="F2" s="47" t="n"/>
      <c r="G2" s="45" t="n"/>
      <c r="H2" s="46">
        <f>"Elaborado: "&amp;'Leia-me'!$D$13&amp;"   ·   Aprovado: "&amp;'Leia-me'!$D$14</f>
        <v/>
      </c>
      <c r="I2" s="47" t="n"/>
      <c r="J2" s="45" t="n"/>
    </row>
    <row r="3" ht="32" customHeight="1">
      <c r="A3" s="157" t="inlineStr">
        <is>
          <t>Responsável</t>
        </is>
      </c>
      <c r="C3" s="157" t="inlineStr">
        <is>
          <t>Setor</t>
        </is>
      </c>
      <c r="E3" s="158" t="inlineStr">
        <is>
          <t>TAG</t>
        </is>
      </c>
      <c r="F3" s="159" t="inlineStr">
        <is>
          <t>Equipamento</t>
        </is>
      </c>
      <c r="G3" s="159" t="inlineStr">
        <is>
          <t>Família de equipamento ▼</t>
        </is>
      </c>
      <c r="H3" s="160" t="inlineStr">
        <is>
          <t>Setor ▼</t>
        </is>
      </c>
      <c r="J3" s="157" t="inlineStr">
        <is>
          <t>Família de equipamento</t>
        </is>
      </c>
    </row>
    <row r="4" hidden="1">
      <c r="A4" s="161" t="inlineStr">
        <is>
          <t>nome_pessoa</t>
        </is>
      </c>
      <c r="C4" s="161" t="inlineStr">
        <is>
          <t>nome_setor</t>
        </is>
      </c>
      <c r="E4" s="161" t="inlineStr">
        <is>
          <t>tag</t>
        </is>
      </c>
      <c r="F4" s="161" t="inlineStr">
        <is>
          <t>descricao_ativo</t>
        </is>
      </c>
      <c r="G4" s="161" t="inlineStr">
        <is>
          <t>familia</t>
        </is>
      </c>
      <c r="H4" s="161" t="inlineStr">
        <is>
          <t>setor</t>
        </is>
      </c>
      <c r="J4" s="161" t="inlineStr">
        <is>
          <t>nome_familia</t>
        </is>
      </c>
    </row>
    <row r="5" ht="22" customHeight="1">
      <c r="A5" s="162" t="n"/>
      <c r="C5" s="162" t="n"/>
      <c r="E5" s="163" t="n"/>
      <c r="F5" s="164" t="n"/>
      <c r="G5" s="164" t="n"/>
      <c r="H5" s="165" t="n"/>
      <c r="J5" s="162" t="n"/>
    </row>
    <row r="6" ht="22" customHeight="1">
      <c r="A6" s="162" t="n"/>
      <c r="C6" s="162" t="n"/>
      <c r="E6" s="163" t="n"/>
      <c r="F6" s="164" t="n"/>
      <c r="G6" s="164" t="n"/>
      <c r="H6" s="165" t="n"/>
      <c r="J6" s="162" t="n"/>
    </row>
    <row r="7" ht="22" customHeight="1">
      <c r="A7" s="162" t="n"/>
      <c r="C7" s="162" t="n"/>
      <c r="E7" s="163" t="n"/>
      <c r="F7" s="164" t="n"/>
      <c r="G7" s="164" t="n"/>
      <c r="H7" s="165" t="n"/>
      <c r="J7" s="162" t="n"/>
    </row>
    <row r="8" ht="22" customHeight="1">
      <c r="A8" s="162" t="n"/>
      <c r="C8" s="162" t="n"/>
      <c r="E8" s="163" t="n"/>
      <c r="F8" s="164" t="n"/>
      <c r="G8" s="164" t="n"/>
      <c r="H8" s="165" t="n"/>
      <c r="J8" s="162" t="n"/>
    </row>
    <row r="9" ht="22" customHeight="1">
      <c r="A9" s="162" t="n"/>
      <c r="C9" s="162" t="n"/>
      <c r="E9" s="163" t="n"/>
      <c r="F9" s="164" t="n"/>
      <c r="G9" s="164" t="n"/>
      <c r="H9" s="165" t="n"/>
      <c r="J9" s="162" t="n"/>
    </row>
    <row r="10" ht="22" customHeight="1">
      <c r="A10" s="162" t="n"/>
      <c r="C10" s="162" t="n"/>
      <c r="E10" s="163" t="n"/>
      <c r="F10" s="164" t="n"/>
      <c r="G10" s="164" t="n"/>
      <c r="H10" s="165" t="n"/>
      <c r="J10" s="162" t="n"/>
    </row>
    <row r="11" ht="22" customHeight="1">
      <c r="A11" s="162" t="n"/>
      <c r="C11" s="162" t="n"/>
      <c r="E11" s="163" t="n"/>
      <c r="F11" s="164" t="n"/>
      <c r="G11" s="164" t="n"/>
      <c r="H11" s="165" t="n"/>
      <c r="J11" s="162" t="n"/>
    </row>
    <row r="12" ht="22" customHeight="1">
      <c r="A12" s="162" t="n"/>
      <c r="C12" s="162" t="n"/>
      <c r="E12" s="163" t="n"/>
      <c r="F12" s="164" t="n"/>
      <c r="G12" s="164" t="n"/>
      <c r="H12" s="165" t="n"/>
      <c r="J12" s="162" t="n"/>
    </row>
    <row r="13" ht="22" customHeight="1">
      <c r="A13" s="162" t="n"/>
      <c r="C13" s="162" t="n"/>
      <c r="E13" s="163" t="n"/>
      <c r="F13" s="164" t="n"/>
      <c r="G13" s="164" t="n"/>
      <c r="H13" s="165" t="n"/>
      <c r="J13" s="162" t="n"/>
    </row>
    <row r="14" ht="22" customHeight="1">
      <c r="A14" s="162" t="n"/>
      <c r="C14" s="162" t="n"/>
      <c r="E14" s="163" t="n"/>
      <c r="F14" s="164" t="n"/>
      <c r="G14" s="164" t="n"/>
      <c r="H14" s="165" t="n"/>
      <c r="J14" s="162" t="n"/>
    </row>
    <row r="15" ht="22" customHeight="1">
      <c r="A15" s="162" t="n"/>
      <c r="C15" s="162" t="n"/>
      <c r="E15" s="163" t="n"/>
      <c r="F15" s="164" t="n"/>
      <c r="G15" s="164" t="n"/>
      <c r="H15" s="165" t="n"/>
      <c r="J15" s="162" t="n"/>
    </row>
    <row r="16" ht="22" customHeight="1">
      <c r="A16" s="162" t="n"/>
      <c r="C16" s="162" t="n"/>
      <c r="E16" s="163" t="n"/>
      <c r="F16" s="164" t="n"/>
      <c r="G16" s="164" t="n"/>
      <c r="H16" s="165" t="n"/>
      <c r="J16" s="162" t="n"/>
    </row>
    <row r="17" ht="22" customHeight="1">
      <c r="A17" s="162" t="n"/>
      <c r="C17" s="162" t="n"/>
      <c r="E17" s="163" t="n"/>
      <c r="F17" s="164" t="n"/>
      <c r="G17" s="164" t="n"/>
      <c r="H17" s="165" t="n"/>
      <c r="J17" s="162" t="n"/>
    </row>
    <row r="18" ht="22" customHeight="1">
      <c r="A18" s="162" t="n"/>
      <c r="C18" s="162" t="n"/>
      <c r="E18" s="163" t="n"/>
      <c r="F18" s="164" t="n"/>
      <c r="G18" s="164" t="n"/>
      <c r="H18" s="165" t="n"/>
      <c r="J18" s="162" t="n"/>
    </row>
    <row r="19" ht="22" customHeight="1">
      <c r="A19" s="162" t="n"/>
      <c r="C19" s="162" t="n"/>
      <c r="E19" s="163" t="n"/>
      <c r="F19" s="164" t="n"/>
      <c r="G19" s="164" t="n"/>
      <c r="H19" s="165" t="n"/>
      <c r="J19" s="162" t="n"/>
    </row>
    <row r="20" ht="22" customHeight="1">
      <c r="A20" s="162" t="n"/>
      <c r="C20" s="162" t="n"/>
      <c r="E20" s="163" t="n"/>
      <c r="F20" s="164" t="n"/>
      <c r="G20" s="164" t="n"/>
      <c r="H20" s="165" t="n"/>
      <c r="J20" s="162" t="n"/>
    </row>
    <row r="21" ht="22" customHeight="1">
      <c r="A21" s="162" t="n"/>
      <c r="C21" s="162" t="n"/>
      <c r="E21" s="163" t="n"/>
      <c r="F21" s="164" t="n"/>
      <c r="G21" s="164" t="n"/>
      <c r="H21" s="165" t="n"/>
      <c r="J21" s="162" t="n"/>
    </row>
    <row r="22" ht="22" customHeight="1">
      <c r="A22" s="162" t="n"/>
      <c r="C22" s="162" t="n"/>
      <c r="E22" s="163" t="n"/>
      <c r="F22" s="164" t="n"/>
      <c r="G22" s="164" t="n"/>
      <c r="H22" s="165" t="n"/>
      <c r="J22" s="162" t="n"/>
    </row>
    <row r="23" ht="22" customHeight="1">
      <c r="A23" s="162" t="n"/>
      <c r="C23" s="162" t="n"/>
      <c r="E23" s="163" t="n"/>
      <c r="F23" s="164" t="n"/>
      <c r="G23" s="164" t="n"/>
      <c r="H23" s="165" t="n"/>
      <c r="J23" s="162" t="n"/>
    </row>
    <row r="24" ht="22" customHeight="1">
      <c r="A24" s="162" t="n"/>
      <c r="C24" s="162" t="n"/>
      <c r="E24" s="163" t="n"/>
      <c r="F24" s="164" t="n"/>
      <c r="G24" s="164" t="n"/>
      <c r="H24" s="165" t="n"/>
      <c r="J24" s="162" t="n"/>
    </row>
    <row r="25" ht="22" customHeight="1">
      <c r="A25" s="162" t="n"/>
      <c r="C25" s="162" t="n"/>
      <c r="E25" s="163" t="n"/>
      <c r="F25" s="164" t="n"/>
      <c r="G25" s="164" t="n"/>
      <c r="H25" s="165" t="n"/>
      <c r="J25" s="162" t="n"/>
    </row>
    <row r="26" ht="22" customHeight="1">
      <c r="A26" s="162" t="n"/>
      <c r="C26" s="162" t="n"/>
      <c r="E26" s="163" t="n"/>
      <c r="F26" s="164" t="n"/>
      <c r="G26" s="164" t="n"/>
      <c r="H26" s="165" t="n"/>
      <c r="J26" s="162" t="n"/>
    </row>
    <row r="27" ht="22" customHeight="1">
      <c r="A27" s="162" t="n"/>
      <c r="C27" s="162" t="n"/>
      <c r="E27" s="163" t="n"/>
      <c r="F27" s="164" t="n"/>
      <c r="G27" s="164" t="n"/>
      <c r="H27" s="165" t="n"/>
      <c r="J27" s="162" t="n"/>
    </row>
    <row r="28" ht="22" customHeight="1">
      <c r="A28" s="162" t="n"/>
      <c r="C28" s="162" t="n"/>
      <c r="E28" s="163" t="n"/>
      <c r="F28" s="164" t="n"/>
      <c r="G28" s="164" t="n"/>
      <c r="H28" s="165" t="n"/>
      <c r="J28" s="162" t="n"/>
    </row>
    <row r="29" ht="22" customHeight="1">
      <c r="A29" s="166" t="n"/>
      <c r="C29" s="166" t="n"/>
      <c r="E29" s="167" t="n"/>
      <c r="F29" s="168" t="n"/>
      <c r="G29" s="168" t="n"/>
      <c r="H29" s="169" t="n"/>
      <c r="J29" s="166" t="n"/>
    </row>
    <row r="30" ht="20" customHeight="1">
      <c r="A30" s="170" t="inlineStr">
        <is>
          <t xml:space="preserve"> </t>
        </is>
      </c>
    </row>
  </sheetData>
  <mergeCells count="6">
    <mergeCell ref="H1:J1"/>
    <mergeCell ref="B2:G2"/>
    <mergeCell ref="B1:G1"/>
    <mergeCell ref="A30:J30"/>
    <mergeCell ref="H2:J2"/>
    <mergeCell ref="A1:A2"/>
  </mergeCells>
  <dataValidations count="2">
    <dataValidation sqref="G5:G29" showDropDown="0" showInputMessage="0" showErrorMessage="1" allowBlank="1" errorTitle="Valor fora da lista" error="Escolha um item da lista." type="list" errorStyle="stop">
      <formula1>L_FAMILIAS</formula1>
    </dataValidation>
    <dataValidation sqref="H5:H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39" t="n"/>
      <c r="B1" s="40" t="n"/>
      <c r="C1" s="171" t="inlineStr">
        <is>
          <t>Revisões</t>
        </is>
      </c>
      <c r="D1" s="43">
        <f>"Rev. "&amp;'Leia-me'!$D$15&amp;"   ·   "&amp;'Leia-me'!$D$16</f>
        <v/>
      </c>
      <c r="E1" s="40" t="n"/>
    </row>
    <row r="2" ht="28" customHeight="1">
      <c r="A2" s="44" t="n"/>
      <c r="B2" s="45" t="n"/>
      <c r="C2" s="133" t="inlineStr">
        <is>
          <t>Objetivo: Registre cada alteração do modelo; a última linha alimenta Rev. e data do cabeçalho.</t>
        </is>
      </c>
      <c r="D2" s="46">
        <f>"Elaborado: "&amp;'Leia-me'!$D$13&amp;"   ·   Aprovado: "&amp;'Leia-me'!$D$14</f>
        <v/>
      </c>
      <c r="E2" s="45" t="n"/>
    </row>
    <row r="3" ht="26" customHeight="1">
      <c r="A3" s="158" t="inlineStr">
        <is>
          <t>Rev</t>
        </is>
      </c>
      <c r="B3" s="159" t="inlineStr">
        <is>
          <t>Data</t>
        </is>
      </c>
      <c r="C3" s="159" t="inlineStr">
        <is>
          <t>Descrição da alteração</t>
        </is>
      </c>
      <c r="D3" s="159" t="inlineStr">
        <is>
          <t>Elaborado por</t>
        </is>
      </c>
      <c r="E3" s="160" t="inlineStr">
        <is>
          <t>Aprovado por</t>
        </is>
      </c>
    </row>
    <row r="4" hidden="1">
      <c r="A4" s="161" t="inlineStr">
        <is>
          <t>revisao</t>
        </is>
      </c>
      <c r="B4" s="161" t="inlineStr">
        <is>
          <t>data_revisao</t>
        </is>
      </c>
      <c r="C4" s="161" t="inlineStr">
        <is>
          <t>descricao_alteracao</t>
        </is>
      </c>
      <c r="D4" s="161" t="inlineStr">
        <is>
          <t>elaborado_por</t>
        </is>
      </c>
      <c r="E4" s="161" t="inlineStr">
        <is>
          <t>aprovado_por</t>
        </is>
      </c>
    </row>
    <row r="5" ht="22" customHeight="1">
      <c r="A5" s="172" t="inlineStr">
        <is>
          <t>00</t>
        </is>
      </c>
      <c r="B5" s="173" t="n">
        <v>46325</v>
      </c>
      <c r="C5" s="174" t="inlineStr">
        <is>
          <t>Emissão inicial</t>
        </is>
      </c>
      <c r="D5" s="164" t="n"/>
      <c r="E5" s="165" t="n"/>
    </row>
    <row r="6" ht="22" customHeight="1">
      <c r="A6" s="172" t="n"/>
      <c r="B6" s="173" t="n"/>
      <c r="C6" s="174" t="n"/>
      <c r="D6" s="164" t="n"/>
      <c r="E6" s="165" t="n"/>
    </row>
    <row r="7" ht="22" customHeight="1">
      <c r="A7" s="172" t="n"/>
      <c r="B7" s="173" t="n"/>
      <c r="C7" s="174" t="n"/>
      <c r="D7" s="164" t="n"/>
      <c r="E7" s="165" t="n"/>
    </row>
    <row r="8" ht="22" customHeight="1">
      <c r="A8" s="172" t="n"/>
      <c r="B8" s="173" t="n"/>
      <c r="C8" s="174" t="n"/>
      <c r="D8" s="164" t="n"/>
      <c r="E8" s="165" t="n"/>
    </row>
    <row r="9" ht="22" customHeight="1">
      <c r="A9" s="172" t="n"/>
      <c r="B9" s="173" t="n"/>
      <c r="C9" s="174" t="n"/>
      <c r="D9" s="164" t="n"/>
      <c r="E9" s="165" t="n"/>
    </row>
    <row r="10" ht="22" customHeight="1">
      <c r="A10" s="172" t="n"/>
      <c r="B10" s="173" t="n"/>
      <c r="C10" s="174" t="n"/>
      <c r="D10" s="164" t="n"/>
      <c r="E10" s="165" t="n"/>
    </row>
    <row r="11" ht="22" customHeight="1">
      <c r="A11" s="172" t="n"/>
      <c r="B11" s="173" t="n"/>
      <c r="C11" s="174" t="n"/>
      <c r="D11" s="164" t="n"/>
      <c r="E11" s="165" t="n"/>
    </row>
    <row r="12" ht="22" customHeight="1">
      <c r="A12" s="172" t="n"/>
      <c r="B12" s="173" t="n"/>
      <c r="C12" s="174" t="n"/>
      <c r="D12" s="164" t="n"/>
      <c r="E12" s="165" t="n"/>
    </row>
    <row r="13" ht="22" customHeight="1">
      <c r="A13" s="172" t="n"/>
      <c r="B13" s="173" t="n"/>
      <c r="C13" s="174" t="n"/>
      <c r="D13" s="164" t="n"/>
      <c r="E13" s="165" t="n"/>
    </row>
    <row r="14" ht="22" customHeight="1">
      <c r="A14" s="172" t="n"/>
      <c r="B14" s="173" t="n"/>
      <c r="C14" s="174" t="n"/>
      <c r="D14" s="164" t="n"/>
      <c r="E14" s="165" t="n"/>
    </row>
    <row r="15" ht="22" customHeight="1">
      <c r="A15" s="172" t="n"/>
      <c r="B15" s="173" t="n"/>
      <c r="C15" s="174" t="n"/>
      <c r="D15" s="164" t="n"/>
      <c r="E15" s="165" t="n"/>
    </row>
    <row r="16" ht="22" customHeight="1">
      <c r="A16" s="172" t="n"/>
      <c r="B16" s="173" t="n"/>
      <c r="C16" s="174" t="n"/>
      <c r="D16" s="164" t="n"/>
      <c r="E16" s="165" t="n"/>
    </row>
    <row r="17" ht="22" customHeight="1">
      <c r="A17" s="172" t="n"/>
      <c r="B17" s="173" t="n"/>
      <c r="C17" s="174" t="n"/>
      <c r="D17" s="164" t="n"/>
      <c r="E17" s="165" t="n"/>
    </row>
    <row r="18" ht="22" customHeight="1">
      <c r="A18" s="172" t="n"/>
      <c r="B18" s="173" t="n"/>
      <c r="C18" s="174" t="n"/>
      <c r="D18" s="164" t="n"/>
      <c r="E18" s="165" t="n"/>
    </row>
    <row r="19" ht="22" customHeight="1">
      <c r="A19" s="172" t="n"/>
      <c r="B19" s="173" t="n"/>
      <c r="C19" s="174" t="n"/>
      <c r="D19" s="164" t="n"/>
      <c r="E19" s="165" t="n"/>
    </row>
    <row r="20" ht="22" customHeight="1">
      <c r="A20" s="172" t="n"/>
      <c r="B20" s="173" t="n"/>
      <c r="C20" s="174" t="n"/>
      <c r="D20" s="164" t="n"/>
      <c r="E20" s="165" t="n"/>
    </row>
    <row r="21" ht="22" customHeight="1">
      <c r="A21" s="172" t="n"/>
      <c r="B21" s="173" t="n"/>
      <c r="C21" s="174" t="n"/>
      <c r="D21" s="164" t="n"/>
      <c r="E21" s="165" t="n"/>
    </row>
    <row r="22" ht="22" customHeight="1">
      <c r="A22" s="172" t="n"/>
      <c r="B22" s="173" t="n"/>
      <c r="C22" s="174" t="n"/>
      <c r="D22" s="164" t="n"/>
      <c r="E22" s="165" t="n"/>
    </row>
    <row r="23" ht="22" customHeight="1">
      <c r="A23" s="172" t="n"/>
      <c r="B23" s="173" t="n"/>
      <c r="C23" s="174" t="n"/>
      <c r="D23" s="164" t="n"/>
      <c r="E23" s="165" t="n"/>
    </row>
    <row r="24" ht="22" customHeight="1">
      <c r="A24" s="172" t="n"/>
      <c r="B24" s="173" t="n"/>
      <c r="C24" s="174" t="n"/>
      <c r="D24" s="164" t="n"/>
      <c r="E24" s="165" t="n"/>
    </row>
    <row r="25" ht="22" customHeight="1">
      <c r="A25" s="172" t="n"/>
      <c r="B25" s="173" t="n"/>
      <c r="C25" s="174" t="n"/>
      <c r="D25" s="164" t="n"/>
      <c r="E25" s="165" t="n"/>
    </row>
    <row r="26" ht="22" customHeight="1">
      <c r="A26" s="172" t="n"/>
      <c r="B26" s="173" t="n"/>
      <c r="C26" s="174" t="n"/>
      <c r="D26" s="164" t="n"/>
      <c r="E26" s="165" t="n"/>
    </row>
    <row r="27" ht="22" customHeight="1">
      <c r="A27" s="172" t="n"/>
      <c r="B27" s="173" t="n"/>
      <c r="C27" s="174" t="n"/>
      <c r="D27" s="164" t="n"/>
      <c r="E27" s="165" t="n"/>
    </row>
    <row r="28" ht="22" customHeight="1">
      <c r="A28" s="172" t="n"/>
      <c r="B28" s="173" t="n"/>
      <c r="C28" s="174" t="n"/>
      <c r="D28" s="164" t="n"/>
      <c r="E28" s="165" t="n"/>
    </row>
    <row r="29" ht="22" customHeight="1">
      <c r="A29" s="175" t="n"/>
      <c r="B29" s="176" t="n"/>
      <c r="C29" s="177" t="n"/>
      <c r="D29" s="168" t="n"/>
      <c r="E29" s="169" t="n"/>
    </row>
    <row r="30" ht="20" customHeight="1">
      <c r="A30" s="170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&amp;K4A5668PCM-MAN-015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2026-10-31T02:04:50Z</dcterms:created>
  <dcterms:modified xmlns:dcterms="http://purl.org/dc/terms/" xmlns:xsi="http://www.w3.org/2001/XMLSchema-instance" xsi:type="dcterms:W3CDTF">2026-10-31T02:04:50Z</dcterms:modified>
</cp:coreProperties>
</file>