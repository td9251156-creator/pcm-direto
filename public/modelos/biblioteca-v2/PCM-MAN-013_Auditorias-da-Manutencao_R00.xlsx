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3.xml" ContentType="application/vnd.openxmlformats-officedocument.spreadsheetml.comments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Auditoria" sheetId="2" state="visible" r:id="rId2"/>
    <sheet xmlns:r="http://schemas.openxmlformats.org/officeDocument/2006/relationships" name="Auditorias realizadas" sheetId="3" state="visible" r:id="rId3"/>
    <sheet xmlns:r="http://schemas.openxmlformats.org/officeDocument/2006/relationships" name="Cadastros" sheetId="4" state="visible" r:id="rId4"/>
    <sheet xmlns:r="http://schemas.openxmlformats.org/officeDocument/2006/relationships" name="Revisões" sheetId="5" state="visible" r:id="rId5"/>
  </sheets>
  <definedNames>
    <definedName name="L_TAGS">tb_pcm_ativos[tag]</definedName>
    <definedName name="L_PESSOAS">tb_pcm_pessoas[nome_pessoa]</definedName>
    <definedName name="L_SETORES">tb_pcm_setores[nome_setor]</definedName>
    <definedName name="L_AUDIT">tb_pcm_auditorias[numero_auditoria]</definedName>
    <definedName name="L_TIPO_AUD">tb_pcm_tipos_auditoria[tipo_auditoria]</definedName>
    <definedName name="L_CLASSIF">tb_pcm_classificacoes[classificacao]</definedName>
    <definedName name="L_STATUS_CON">tb_pcm_status_constatacao[status]</definedName>
    <definedName name="L_FAMILIAS">tb_pcm_familias[nome_familia]</definedName>
    <definedName name="_xlnm.Print_Area" localSheetId="0">'Leia-me'!$A$1:$G$31</definedName>
    <definedName name="_xlnm.Print_Area" localSheetId="1">'Auditoria'!$A$1:$K$20</definedName>
    <definedName name="_xlnm.Print_Titles" localSheetId="2">'Auditorias realizadas'!$1:$3</definedName>
    <definedName name="_xlnm.Print_Area" localSheetId="2">'Auditorias realizadas'!$A$1:$F$30</definedName>
    <definedName name="_xlnm.Print_Titles" localSheetId="3">'Cadastros'!$1:$3</definedName>
    <definedName name="_xlnm.Print_Area" localSheetId="3">'Cadastros'!$A$1:$J$30</definedName>
    <definedName name="_xlnm.Print_Titles" localSheetId="4">'Revisões'!$1:$3</definedName>
    <definedName name="_xlnm.Print_Area" localSheetId="4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6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6B7686"/>
      <sz val="8"/>
    </font>
    <font>
      <name val="Arial"/>
      <color rgb="000E1726"/>
      <sz val="9"/>
    </font>
    <font>
      <name val="Arial"/>
      <b val="1"/>
      <color rgb="000E1726"/>
      <sz val="9"/>
    </font>
    <font>
      <name val="Arial"/>
      <b val="1"/>
      <color rgb="00FFFFFF"/>
      <sz val="10"/>
    </font>
    <font>
      <name val="Arial Black"/>
      <b val="1"/>
      <color rgb="000E1726"/>
      <sz val="14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  <font>
      <name val="Arial Black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ECEFF3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  <fill>
      <patternFill patternType="solid">
        <fgColor rgb="004A5668"/>
      </patternFill>
    </fill>
  </fills>
  <borders count="43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/>
      <right/>
      <top/>
      <bottom style="thin">
        <color rgb="00D3DEEC"/>
      </bottom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bottom style="thin">
        <color rgb="000B2A5B"/>
      </bottom>
    </border>
    <border>
      <left/>
      <right/>
      <top style="thin">
        <color rgb="00D3DEEC"/>
      </top>
      <bottom/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bottom style="thin">
        <color rgb="00FFFFFF"/>
      </bottom>
    </border>
    <border>
      <top style="medium">
        <color rgb="000B2A5B"/>
      </top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4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right" vertical="center"/>
    </xf>
    <xf numFmtId="0" fontId="0" fillId="0" borderId="34" pivotButton="0" quotePrefix="0" xfId="0"/>
    <xf numFmtId="0" fontId="15" fillId="0" borderId="34" applyAlignment="1" pivotButton="0" quotePrefix="0" xfId="0">
      <alignment horizontal="center" vertical="top"/>
    </xf>
    <xf numFmtId="0" fontId="15" fillId="0" borderId="34" applyAlignment="1" pivotButton="0" quotePrefix="0" xfId="0">
      <alignment horizontal="right" vertical="top"/>
    </xf>
    <xf numFmtId="0" fontId="17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5" borderId="35" applyAlignment="1" pivotButton="0" quotePrefix="0" xfId="0">
      <alignment vertical="center" indent="1"/>
    </xf>
    <xf numFmtId="0" fontId="0" fillId="5" borderId="37" pivotButton="0" quotePrefix="0" xfId="0"/>
    <xf numFmtId="0" fontId="0" fillId="5" borderId="39" applyAlignment="1" pivotButton="0" quotePrefix="0" xfId="0">
      <alignment vertical="center" indent="1"/>
    </xf>
    <xf numFmtId="0" fontId="18" fillId="5" borderId="36" applyAlignment="1" pivotButton="0" quotePrefix="0" xfId="0">
      <alignment vertical="top" wrapText="1" indent="1"/>
    </xf>
    <xf numFmtId="0" fontId="0" fillId="5" borderId="38" pivotButton="0" quotePrefix="0" xfId="0"/>
    <xf numFmtId="0" fontId="18" fillId="5" borderId="40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25" fillId="8" borderId="0" applyAlignment="1" pivotButton="0" quotePrefix="0" xfId="0">
      <alignment vertical="center" indent="1"/>
    </xf>
    <xf numFmtId="0" fontId="0" fillId="8" borderId="0" pivotButton="0" quotePrefix="0" xfId="0"/>
    <xf numFmtId="0" fontId="13" fillId="5" borderId="12" applyAlignment="1" pivotButton="0" quotePrefix="0" xfId="0">
      <alignment vertical="center" indent="1"/>
    </xf>
    <xf numFmtId="0" fontId="0" fillId="5" borderId="12" pivotButton="0" quotePrefix="0" xfId="0"/>
    <xf numFmtId="49" fontId="5" fillId="2" borderId="12" applyAlignment="1" pivotButton="0" quotePrefix="0" xfId="0">
      <alignment horizontal="left" vertical="center" wrapText="1" indent="1"/>
    </xf>
    <xf numFmtId="0" fontId="0" fillId="2" borderId="10" pivotButton="0" quotePrefix="0" xfId="0"/>
    <xf numFmtId="0" fontId="19" fillId="2" borderId="11" applyAlignment="1" pivotButton="0" quotePrefix="0" xfId="0">
      <alignment vertical="center" indent="1"/>
    </xf>
    <xf numFmtId="0" fontId="11" fillId="6" borderId="0" applyAlignment="1" pivotButton="0" quotePrefix="0" xfId="0">
      <alignment horizontal="center" vertical="center" wrapText="1"/>
    </xf>
    <xf numFmtId="0" fontId="0" fillId="2" borderId="12" pivotButton="0" quotePrefix="0" xfId="0"/>
    <xf numFmtId="0" fontId="12" fillId="0" borderId="0" applyAlignment="1" pivotButton="0" quotePrefix="0" xfId="0">
      <alignment vertical="center"/>
    </xf>
    <xf numFmtId="0" fontId="4" fillId="0" borderId="5" applyAlignment="1" pivotButton="0" quotePrefix="0" xfId="0">
      <alignment vertical="center" indent="1"/>
    </xf>
    <xf numFmtId="0" fontId="20" fillId="2" borderId="11" applyAlignment="1" pivotButton="0" quotePrefix="0" xfId="0">
      <alignment vertical="center" indent="1"/>
    </xf>
    <xf numFmtId="49" fontId="5" fillId="4" borderId="12" applyAlignment="1" pivotButton="0" quotePrefix="0" xfId="0">
      <alignment horizontal="left" vertical="center" wrapText="1" indent="1"/>
    </xf>
    <xf numFmtId="0" fontId="0" fillId="4" borderId="10" pivotButton="0" quotePrefix="0" xfId="0"/>
    <xf numFmtId="0" fontId="17" fillId="6" borderId="4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 indent="1"/>
    </xf>
    <xf numFmtId="0" fontId="4" fillId="0" borderId="5" applyAlignment="1" pivotButton="0" quotePrefix="0" xfId="0">
      <alignment vertical="center" wrapText="1" indent="1"/>
    </xf>
    <xf numFmtId="0" fontId="0" fillId="0" borderId="5" pivotButton="0" quotePrefix="0" xfId="0"/>
    <xf numFmtId="0" fontId="13" fillId="0" borderId="5" applyAlignment="1" pivotButton="0" quotePrefix="0" xfId="0">
      <alignment vertical="center" indent="1"/>
    </xf>
    <xf numFmtId="0" fontId="13" fillId="2" borderId="12" applyAlignment="1" pivotButton="0" quotePrefix="0" xfId="0">
      <alignment vertical="center" indent="1"/>
    </xf>
    <xf numFmtId="0" fontId="13" fillId="4" borderId="12" applyAlignment="1" pivotButton="0" quotePrefix="0" xfId="0">
      <alignment vertical="center" indent="1"/>
    </xf>
    <xf numFmtId="0" fontId="0" fillId="4" borderId="12" pivotButton="0" quotePrefix="0" xfId="0"/>
    <xf numFmtId="0" fontId="0" fillId="7" borderId="42" pivotButton="0" quotePrefix="0" xfId="0"/>
    <xf numFmtId="0" fontId="22" fillId="7" borderId="42" applyAlignment="1" pivotButton="0" quotePrefix="0" xfId="0">
      <alignment vertical="bottom" indent="1"/>
    </xf>
    <xf numFmtId="0" fontId="23" fillId="7" borderId="42" applyAlignment="1" pivotButton="0" quotePrefix="0" xfId="0">
      <alignment horizontal="right" vertical="bottom" indent="1"/>
    </xf>
    <xf numFmtId="0" fontId="0" fillId="7" borderId="0" pivotButton="0" quotePrefix="0" xfId="0"/>
    <xf numFmtId="0" fontId="24" fillId="7" borderId="0" applyAlignment="1" pivotButton="0" quotePrefix="0" xfId="0">
      <alignment vertical="top" wrapText="1" indent="1"/>
    </xf>
    <xf numFmtId="0" fontId="0" fillId="2" borderId="16" pivotButton="0" quotePrefix="0" xfId="0"/>
    <xf numFmtId="0" fontId="0" fillId="2" borderId="17" pivotButton="0" quotePrefix="0" xfId="0"/>
    <xf numFmtId="0" fontId="8" fillId="2" borderId="16" applyAlignment="1" pivotButton="0" quotePrefix="0" xfId="0">
      <alignment horizontal="center" vertical="center"/>
    </xf>
    <xf numFmtId="0" fontId="0" fillId="2" borderId="18" pivotButton="0" quotePrefix="0" xfId="0"/>
    <xf numFmtId="0" fontId="10" fillId="2" borderId="16" applyAlignment="1" pivotButton="0" quotePrefix="0" xfId="0">
      <alignment horizontal="center" vertical="center" shrinkToFit="1"/>
    </xf>
    <xf numFmtId="0" fontId="0" fillId="2" borderId="19" pivotButton="0" quotePrefix="0" xfId="0"/>
    <xf numFmtId="0" fontId="0" fillId="2" borderId="20" pivotButton="0" quotePrefix="0" xfId="0"/>
    <xf numFmtId="0" fontId="9" fillId="2" borderId="19" applyAlignment="1" pivotButton="0" quotePrefix="0" xfId="0">
      <alignment horizontal="center" vertical="center" wrapText="1"/>
    </xf>
    <xf numFmtId="0" fontId="0" fillId="2" borderId="21" pivotButton="0" quotePrefix="0" xfId="0"/>
    <xf numFmtId="0" fontId="1" fillId="2" borderId="1" applyAlignment="1" pivotButton="0" quotePrefix="0" xfId="0">
      <alignment horizontal="left" vertical="bottom" indent="1"/>
    </xf>
    <xf numFmtId="0" fontId="0" fillId="0" borderId="22" pivotButton="0" quotePrefix="0" xfId="0"/>
    <xf numFmtId="0" fontId="0" fillId="2" borderId="2" pivotButton="0" quotePrefix="0" xfId="0"/>
    <xf numFmtId="0" fontId="1" fillId="2" borderId="2" applyAlignment="1" pivotButton="0" quotePrefix="0" xfId="0">
      <alignment horizontal="left" vertical="bottom" indent="1"/>
    </xf>
    <xf numFmtId="0" fontId="1" fillId="2" borderId="3" applyAlignment="1" pivotButton="0" quotePrefix="0" xfId="0">
      <alignment horizontal="left" vertical="bottom" indent="1"/>
    </xf>
    <xf numFmtId="0" fontId="2" fillId="2" borderId="9" applyAlignment="1" pivotButton="0" quotePrefix="0" xfId="0">
      <alignment horizontal="left" vertical="center" wrapText="1" indent="1"/>
    </xf>
    <xf numFmtId="0" fontId="0" fillId="2" borderId="11" pivotButton="0" quotePrefix="0" xfId="0"/>
    <xf numFmtId="0" fontId="0" fillId="2" borderId="5" pivotButton="0" quotePrefix="0" xfId="0"/>
    <xf numFmtId="164" fontId="2" fillId="2" borderId="9" applyAlignment="1" pivotButton="0" quotePrefix="0" xfId="0">
      <alignment horizontal="center" vertical="center" wrapText="1"/>
    </xf>
    <xf numFmtId="9" fontId="7" fillId="4" borderId="12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1" applyAlignment="1" pivotButton="0" quotePrefix="0" xfId="0">
      <alignment horizontal="left" vertical="center" indent="1"/>
    </xf>
    <xf numFmtId="0" fontId="0" fillId="3" borderId="22" pivotButton="0" quotePrefix="0" xfId="0"/>
    <xf numFmtId="9" fontId="6" fillId="3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left" vertical="center" wrapText="1" indent="1"/>
    </xf>
    <xf numFmtId="0" fontId="5" fillId="2" borderId="6" applyAlignment="1" pivotButton="0" quotePrefix="0" xfId="0">
      <alignment horizontal="center" vertical="center" wrapText="1"/>
    </xf>
    <xf numFmtId="0" fontId="0" fillId="2" borderId="31" pivotButton="0" quotePrefix="0" xfId="0"/>
    <xf numFmtId="0" fontId="10" fillId="2" borderId="31" applyAlignment="1" pivotButton="0" quotePrefix="0" xfId="0">
      <alignment horizontal="center" vertical="center" shrinkToFit="1"/>
    </xf>
    <xf numFmtId="0" fontId="0" fillId="2" borderId="32" pivotButton="0" quotePrefix="0" xfId="0"/>
    <xf numFmtId="0" fontId="9" fillId="2" borderId="32" applyAlignment="1" pivotButton="0" quotePrefix="0" xfId="0">
      <alignment horizontal="center" vertical="center" wrapText="1"/>
    </xf>
    <xf numFmtId="0" fontId="11" fillId="3" borderId="23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0" fontId="11" fillId="3" borderId="24" applyAlignment="1" pivotButton="0" quotePrefix="0" xfId="0">
      <alignment horizontal="center" vertical="center" wrapText="1"/>
    </xf>
    <xf numFmtId="0" fontId="12" fillId="0" borderId="0" pivotButton="0" quotePrefix="0" xfId="0"/>
    <xf numFmtId="49" fontId="13" fillId="2" borderId="25" applyAlignment="1" pivotButton="0" quotePrefix="0" xfId="0">
      <alignment horizontal="left" vertical="center" indent="1"/>
    </xf>
    <xf numFmtId="164" fontId="4" fillId="2" borderId="26" applyAlignment="1" pivotButton="0" quotePrefix="0" xfId="0">
      <alignment horizontal="center" vertical="center"/>
    </xf>
    <xf numFmtId="0" fontId="4" fillId="2" borderId="26" applyAlignment="1" pivotButton="0" quotePrefix="0" xfId="0">
      <alignment horizontal="left" vertical="center" indent="1"/>
    </xf>
    <xf numFmtId="49" fontId="4" fillId="2" borderId="26" applyAlignment="1" pivotButton="0" quotePrefix="0" xfId="0">
      <alignment horizontal="center" vertical="center"/>
    </xf>
    <xf numFmtId="0" fontId="4" fillId="2" borderId="26" applyAlignment="1" pivotButton="0" quotePrefix="0" xfId="0">
      <alignment horizontal="left" vertical="center" wrapText="1" indent="1"/>
    </xf>
    <xf numFmtId="0" fontId="4" fillId="2" borderId="27" applyAlignment="1" pivotButton="0" quotePrefix="0" xfId="0">
      <alignment horizontal="left" vertical="center" indent="1"/>
    </xf>
    <xf numFmtId="49" fontId="13" fillId="2" borderId="28" applyAlignment="1" pivotButton="0" quotePrefix="0" xfId="0">
      <alignment horizontal="left" vertical="center" indent="1"/>
    </xf>
    <xf numFmtId="164" fontId="4" fillId="2" borderId="29" applyAlignment="1" pivotButton="0" quotePrefix="0" xfId="0">
      <alignment horizontal="center" vertical="center"/>
    </xf>
    <xf numFmtId="0" fontId="4" fillId="2" borderId="29" applyAlignment="1" pivotButton="0" quotePrefix="0" xfId="0">
      <alignment horizontal="left" vertical="center" indent="1"/>
    </xf>
    <xf numFmtId="49" fontId="4" fillId="2" borderId="29" applyAlignment="1" pivotButton="0" quotePrefix="0" xfId="0">
      <alignment horizontal="center" vertical="center"/>
    </xf>
    <xf numFmtId="0" fontId="4" fillId="2" borderId="29" applyAlignment="1" pivotButton="0" quotePrefix="0" xfId="0">
      <alignment horizontal="left" vertical="center" wrapText="1" indent="1"/>
    </xf>
    <xf numFmtId="0" fontId="4" fillId="2" borderId="3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11" fillId="3" borderId="33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left" vertical="center" indent="1"/>
    </xf>
    <xf numFmtId="0" fontId="13" fillId="2" borderId="32" applyAlignment="1" pivotButton="0" quotePrefix="0" xfId="0">
      <alignment horizontal="left" vertical="center" indent="1"/>
    </xf>
    <xf numFmtId="0" fontId="8" fillId="2" borderId="31" applyAlignment="1" pivotButton="0" quotePrefix="0" xfId="0">
      <alignment horizontal="center" vertical="center"/>
    </xf>
    <xf numFmtId="49" fontId="13" fillId="2" borderId="25" applyAlignment="1" pivotButton="0" quotePrefix="0" xfId="0">
      <alignment horizontal="center" vertical="center"/>
    </xf>
    <xf numFmtId="49" fontId="13" fillId="2" borderId="28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ont>
        <b val="1"/>
        <color rgb="006B7686"/>
      </font>
      <fill>
        <patternFill patternType="solid">
          <fgColor rgb="00EEF1F5"/>
          <bgColor rgb="00EEF1F5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Nº da auditoria.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Setor auditado. Escolha na lista (preencha antes a aba Cadastros).</t>
      </text>
    </comment>
    <comment ref="D3" authorId="0" shapeId="0">
      <text>
        <t>Tipo. Escolha na lista: INTERNA, EXTERNA, CLIENTE.</t>
      </text>
    </comment>
    <comment ref="E3" authorId="0" shapeId="0">
      <text>
        <t>Escopo.</t>
      </text>
    </comment>
    <comment ref="F3" authorId="0" shapeId="0">
      <text>
        <t>Auditor. Escolha na lista (preencha antes a aba Cadastros).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3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561975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76200</colOff>
      <row>0</row>
      <rowOff>142875</rowOff>
    </from>
    <ext cx="1504950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tipos_auditoria" displayName="tb_pcm_tipos_auditoria" ref="I11:J14" headerRowCount="1">
  <autoFilter ref="I11:J14"/>
  <tableColumns count="2">
    <tableColumn id="9" name="tipo_auditoria"/>
    <tableColumn id="10" name="rotulo_tipo_auditoria"/>
  </tableColumns>
  <tableStyleInfo name="TableStyleLight1" showRowStripes="0"/>
</table>
</file>

<file path=xl/tables/table2.xml><?xml version="1.0" encoding="utf-8"?>
<table xmlns="http://schemas.openxmlformats.org/spreadsheetml/2006/main" id="2" name="tb_pcm_classificacoes" displayName="tb_pcm_classificacoes" ref="L11:M15" headerRowCount="1">
  <autoFilter ref="L11:M15"/>
  <tableColumns count="2">
    <tableColumn id="12" name="classificacao"/>
    <tableColumn id="13" name="rotulo_classificacao"/>
  </tableColumns>
  <tableStyleInfo name="TableStyleLight1" showRowStripes="0"/>
</table>
</file>

<file path=xl/tables/table3.xml><?xml version="1.0" encoding="utf-8"?>
<table xmlns="http://schemas.openxmlformats.org/spreadsheetml/2006/main" id="3" name="tb_pcm_status_constatacao" displayName="tb_pcm_status_constatacao" ref="O11:P14" headerRowCount="1">
  <autoFilter ref="O11:P14"/>
  <tableColumns count="2">
    <tableColumn id="15" name="status"/>
    <tableColumn id="16" name="rotulo_status_con"/>
  </tableColumns>
  <tableStyleInfo name="TableStyleLight1" showRowStripes="0"/>
</table>
</file>

<file path=xl/tables/table4.xml><?xml version="1.0" encoding="utf-8"?>
<table xmlns="http://schemas.openxmlformats.org/spreadsheetml/2006/main" id="4" name="tb_pcm_auditorias" displayName="tb_pcm_auditorias" ref="A4:F29" headerRowCount="1">
  <autoFilter ref="A4:F29"/>
  <tableColumns count="6">
    <tableColumn id="1" name="numero_auditoria"/>
    <tableColumn id="2" name="data_auditoria"/>
    <tableColumn id="3" name="setor"/>
    <tableColumn id="4" name="tipo_auditoria"/>
    <tableColumn id="5" name="escopo"/>
    <tableColumn id="6" name="auditor"/>
  </tableColumns>
  <tableStyleInfo name="TableStyleLight1" showRowStripes="0"/>
</table>
</file>

<file path=xl/tables/table5.xml><?xml version="1.0" encoding="utf-8"?>
<table xmlns="http://schemas.openxmlformats.org/spreadsheetml/2006/main" id="5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6.xml><?xml version="1.0" encoding="utf-8"?>
<table xmlns="http://schemas.openxmlformats.org/spreadsheetml/2006/main" id="6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7.xml><?xml version="1.0" encoding="utf-8"?>
<table xmlns="http://schemas.openxmlformats.org/spreadsheetml/2006/main" id="7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8.xml><?xml version="1.0" encoding="utf-8"?>
<table xmlns="http://schemas.openxmlformats.org/spreadsheetml/2006/main" id="8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9.xml><?xml version="1.0" encoding="utf-8"?>
<table xmlns="http://schemas.openxmlformats.org/spreadsheetml/2006/main" id="9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Relationship Type="http://schemas.openxmlformats.org/officeDocument/2006/relationships/table" Target="/xl/tables/table1.xml" Id="rId4"/><Relationship Type="http://schemas.openxmlformats.org/officeDocument/2006/relationships/table" Target="/xl/tables/table2.xml" Id="rId5"/><Relationship Type="http://schemas.openxmlformats.org/officeDocument/2006/relationships/table" Target="/xl/tables/table3.xml" Id="rId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Relationship Type="http://schemas.openxmlformats.org/officeDocument/2006/relationships/table" Target="/xl/tables/table8.xml" Id="rId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9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B1:P31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  <col width="16" customWidth="1" min="9" max="9"/>
    <col width="20" customWidth="1" min="10" max="10"/>
    <col width="2" customWidth="1" min="11" max="11"/>
    <col width="16" customWidth="1" min="12" max="12"/>
    <col width="26" customWidth="1" min="13" max="13"/>
    <col width="2" customWidth="1" min="14" max="14"/>
    <col width="16" customWidth="1" min="15" max="15"/>
    <col width="20" customWidth="1" min="16" max="16"/>
    <col width="2" customWidth="1" min="17" max="1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PCM-MAN-013  ·  Auditorias da manutenção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Auditoria.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  <c r="I9" s="17" t="inlineStr">
        <is>
          <t>LISTAS DAS SETAS ▼  ·  valores fixos, não altere</t>
        </is>
      </c>
      <c r="J9" s="18" t="n"/>
      <c r="K9" s="18" t="n"/>
      <c r="L9" s="18" t="n"/>
      <c r="M9" s="18" t="n"/>
      <c r="N9" s="18" t="n"/>
      <c r="O9" s="18" t="n"/>
      <c r="P9" s="18" t="n"/>
    </row>
    <row r="10" ht="21" customHeight="1">
      <c r="B10" s="19" t="inlineStr">
        <is>
          <t>Título do documento</t>
        </is>
      </c>
      <c r="C10" s="20" t="n"/>
      <c r="D10" s="21" t="inlineStr">
        <is>
          <t>Auditorias da manutenção</t>
        </is>
      </c>
      <c r="E10" s="22" t="n"/>
      <c r="F10" s="23" t="inlineStr">
        <is>
          <t>Já vem pronto. Ajuste se quiser.</t>
        </is>
      </c>
      <c r="I10" s="24" t="inlineStr">
        <is>
          <t>Tipo auditoria</t>
        </is>
      </c>
      <c r="J10" s="24" t="inlineStr">
        <is>
          <t>Significado</t>
        </is>
      </c>
      <c r="L10" s="24" t="inlineStr">
        <is>
          <t>Classificacao</t>
        </is>
      </c>
      <c r="M10" s="24" t="inlineStr">
        <is>
          <t>Significado</t>
        </is>
      </c>
      <c r="O10" s="24" t="inlineStr">
        <is>
          <t>Status</t>
        </is>
      </c>
      <c r="P10" s="24" t="inlineStr">
        <is>
          <t>Significado</t>
        </is>
      </c>
    </row>
    <row r="11" ht="21" customHeight="1">
      <c r="B11" s="19" t="inlineStr">
        <is>
          <t>Objetivo</t>
        </is>
      </c>
      <c r="C11" s="20" t="n"/>
      <c r="D11" s="21" t="inlineStr">
        <is>
          <t>Auditar a manutenção por checklist e manter o registro das auditorias</t>
        </is>
      </c>
      <c r="E11" s="25" t="n"/>
      <c r="F11" s="25" t="n"/>
      <c r="I11" s="26" t="inlineStr">
        <is>
          <t>tipo_auditoria</t>
        </is>
      </c>
      <c r="J11" s="26" t="inlineStr">
        <is>
          <t>rotulo_tipo_auditoria</t>
        </is>
      </c>
      <c r="L11" s="26" t="inlineStr">
        <is>
          <t>classificacao</t>
        </is>
      </c>
      <c r="M11" s="26" t="inlineStr">
        <is>
          <t>rotulo_classificacao</t>
        </is>
      </c>
      <c r="O11" s="26" t="inlineStr">
        <is>
          <t>status</t>
        </is>
      </c>
      <c r="P11" s="26" t="inlineStr">
        <is>
          <t>rotulo_status_con</t>
        </is>
      </c>
    </row>
    <row r="12" ht="21" customHeight="1">
      <c r="B12" s="19" t="inlineStr">
        <is>
          <t>Código do documento</t>
        </is>
      </c>
      <c r="C12" s="20" t="n"/>
      <c r="D12" s="21" t="inlineStr">
        <is>
          <t>PCM-MAN-013</t>
        </is>
      </c>
      <c r="E12" s="25" t="n"/>
      <c r="F12" s="25" t="n"/>
      <c r="I12" s="27" t="inlineStr">
        <is>
          <t>INTERNA</t>
        </is>
      </c>
      <c r="J12" s="27" t="inlineStr">
        <is>
          <t>Interna</t>
        </is>
      </c>
      <c r="L12" s="27" t="inlineStr">
        <is>
          <t>NC_MAIOR</t>
        </is>
      </c>
      <c r="M12" s="27" t="inlineStr">
        <is>
          <t>Não conformidade maior</t>
        </is>
      </c>
      <c r="O12" s="27" t="inlineStr">
        <is>
          <t>ABERTA</t>
        </is>
      </c>
      <c r="P12" s="27" t="inlineStr">
        <is>
          <t>Aberta</t>
        </is>
      </c>
    </row>
    <row r="13" ht="21" customHeight="1">
      <c r="B13" s="19" t="inlineStr">
        <is>
          <t>Elaborado por</t>
        </is>
      </c>
      <c r="C13" s="20" t="n"/>
      <c r="D13" s="21" t="n"/>
      <c r="E13" s="22" t="n"/>
      <c r="F13" s="28" t="inlineStr">
        <is>
          <t>✎ preencha</t>
        </is>
      </c>
      <c r="I13" s="27" t="inlineStr">
        <is>
          <t>EXTERNA</t>
        </is>
      </c>
      <c r="J13" s="27" t="inlineStr">
        <is>
          <t>Externa</t>
        </is>
      </c>
      <c r="L13" s="27" t="inlineStr">
        <is>
          <t>NC_MENOR</t>
        </is>
      </c>
      <c r="M13" s="27" t="inlineStr">
        <is>
          <t>Não conformidade menor</t>
        </is>
      </c>
      <c r="O13" s="27" t="inlineStr">
        <is>
          <t>EM_TRATAMENTO</t>
        </is>
      </c>
      <c r="P13" s="27" t="inlineStr">
        <is>
          <t>Em tratamento</t>
        </is>
      </c>
    </row>
    <row r="14" ht="21" customHeight="1">
      <c r="B14" s="19" t="inlineStr">
        <is>
          <t>Aprovado por</t>
        </is>
      </c>
      <c r="C14" s="20" t="n"/>
      <c r="D14" s="21" t="n"/>
      <c r="E14" s="22" t="n"/>
      <c r="F14" s="28" t="inlineStr">
        <is>
          <t>✎ preencha</t>
        </is>
      </c>
      <c r="I14" s="27" t="inlineStr">
        <is>
          <t>CLIENTE</t>
        </is>
      </c>
      <c r="J14" s="27" t="inlineStr">
        <is>
          <t>Cliente</t>
        </is>
      </c>
      <c r="L14" s="27" t="inlineStr">
        <is>
          <t>OBSERVACAO</t>
        </is>
      </c>
      <c r="M14" s="27" t="inlineStr">
        <is>
          <t>Observação</t>
        </is>
      </c>
      <c r="O14" s="27" t="inlineStr">
        <is>
          <t>ENCERRADA</t>
        </is>
      </c>
      <c r="P14" s="27" t="inlineStr">
        <is>
          <t>Encerrada</t>
        </is>
      </c>
    </row>
    <row r="15" ht="21" customHeight="1">
      <c r="B15" s="19" t="inlineStr">
        <is>
          <t>Revisão atual</t>
        </is>
      </c>
      <c r="C15" s="20" t="n"/>
      <c r="D15" s="29">
        <f>IF(COUNTA(tb_pcm_revisoes_modelo[revisao])=0,"-",INDEX(tb_pcm_revisoes_modelo[revisao],COUNTA(tb_pcm_revisoes_modelo[revisao])))</f>
        <v/>
      </c>
      <c r="E15" s="30" t="n"/>
      <c r="F15" s="23" t="inlineStr">
        <is>
          <t>automático: aba Revisões</t>
        </is>
      </c>
      <c r="L15" s="27" t="inlineStr">
        <is>
          <t>OPORTUNIDADE</t>
        </is>
      </c>
      <c r="M15" s="27" t="inlineStr">
        <is>
          <t>Oportunidade de melhoria</t>
        </is>
      </c>
    </row>
    <row r="16" ht="21" customHeight="1">
      <c r="B16" s="19" t="inlineStr">
        <is>
          <t>Data da revisão</t>
        </is>
      </c>
      <c r="C16" s="20" t="n"/>
      <c r="D16" s="29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30" t="n"/>
      <c r="F16" s="23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31" t="n">
        <v>1</v>
      </c>
      <c r="C19" s="32" t="inlineStr">
        <is>
          <t>Cadastros</t>
        </is>
      </c>
      <c r="D19" s="33" t="inlineStr">
        <is>
          <t>Cadastre uma vez TAG, equipamento, família e setor, as pessoas, as famílias de equipamento, os setores. Eles aparecem nas setas ▼ das outras abas.</t>
        </is>
      </c>
      <c r="E19" s="34" t="n"/>
      <c r="F19" s="34" t="n"/>
    </row>
    <row r="20" ht="22" customHeight="1">
      <c r="B20" s="31" t="n">
        <v>2</v>
      </c>
      <c r="C20" s="32" t="inlineStr">
        <is>
          <t>Auditoria</t>
        </is>
      </c>
      <c r="D20" s="33" t="inlineStr">
        <is>
          <t>Responda cada item do checklist. A conformidade por área e a geral saem sozinhas.</t>
        </is>
      </c>
      <c r="E20" s="34" t="n"/>
      <c r="F20" s="34" t="n"/>
    </row>
    <row r="21" ht="34" customHeight="1">
      <c r="B21" s="31" t="n">
        <v>3</v>
      </c>
      <c r="C21" s="32" t="inlineStr">
        <is>
          <t>Auditorias realizadas</t>
        </is>
      </c>
      <c r="D21" s="33" t="inlineStr">
        <is>
          <t>Registre cada auditoria feita em uma linha.</t>
        </is>
      </c>
      <c r="E21" s="34" t="n"/>
      <c r="F21" s="34" t="n"/>
    </row>
    <row r="22" ht="10" customHeight="1"/>
    <row r="23" ht="24" customHeight="1">
      <c r="B23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3" s="9" t="n"/>
      <c r="D23" s="9" t="n"/>
      <c r="E23" s="9" t="n"/>
      <c r="F23" s="9" t="n"/>
    </row>
    <row r="24" ht="21" customHeight="1">
      <c r="B24" s="35" t="inlineStr">
        <is>
          <t>▼  Lista</t>
        </is>
      </c>
      <c r="C24" s="34" t="n"/>
      <c r="D24" s="33" t="inlineStr">
        <is>
          <t>Clique na célula e escolha na seta. Valor fora da lista é recusado.</t>
        </is>
      </c>
      <c r="E24" s="34" t="n"/>
      <c r="F24" s="34" t="n"/>
    </row>
    <row r="25" ht="21" customHeight="1">
      <c r="B25" s="36" t="inlineStr">
        <is>
          <t>Célula branca</t>
        </is>
      </c>
      <c r="C25" s="25" t="n"/>
      <c r="D25" s="33" t="inlineStr">
        <is>
          <t>Campo para digitar.</t>
        </is>
      </c>
      <c r="E25" s="34" t="n"/>
      <c r="F25" s="34" t="n"/>
    </row>
    <row r="26" ht="21" customHeight="1">
      <c r="B26" s="37" t="inlineStr">
        <is>
          <t>Célula cinza</t>
        </is>
      </c>
      <c r="C26" s="38" t="n"/>
      <c r="D26" s="33" t="inlineStr">
        <is>
          <t>Cálculo automático. Não digite: a fórmula preenche sozinha.</t>
        </is>
      </c>
      <c r="E26" s="34" t="n"/>
      <c r="F26" s="34" t="n"/>
    </row>
    <row r="27" ht="21" customHeight="1">
      <c r="B27" s="35" t="inlineStr">
        <is>
          <t>Datas e números</t>
        </is>
      </c>
      <c r="C27" s="34" t="n"/>
      <c r="D27" s="33" t="inlineStr">
        <is>
          <t>Datas em dd/mm/aaaa; decimais com vírgula. Vazio = sem informação; zero é valor real.</t>
        </is>
      </c>
      <c r="E27" s="34" t="n"/>
      <c r="F27" s="34" t="n"/>
    </row>
    <row r="28" ht="21" customHeight="1">
      <c r="B28" s="35" t="inlineStr">
        <is>
          <t>Impressão</t>
        </is>
      </c>
      <c r="C28" s="34" t="n"/>
      <c r="D28" s="33" t="inlineStr">
        <is>
          <t>Cada aba já está ajustada para uma folha A4. Use Arquivo &gt; Imprimir sem mudar a escala.</t>
        </is>
      </c>
      <c r="E28" s="34" t="n"/>
      <c r="F28" s="34" t="n"/>
    </row>
    <row r="29" ht="12" customHeight="1"/>
    <row r="30" ht="22" customHeight="1">
      <c r="B30" s="39" t="n"/>
      <c r="C30" s="39" t="n"/>
      <c r="D30" s="40" t="inlineStr">
        <is>
          <t>SOBRE O PCM DIRETO</t>
        </is>
      </c>
      <c r="E30" s="39" t="n"/>
      <c r="F30" s="41" t="inlineStr">
        <is>
          <t>pcmdireto.me</t>
        </is>
      </c>
    </row>
    <row r="31" ht="34" customHeight="1">
      <c r="B31" s="42" t="n"/>
      <c r="C31" s="42" t="n"/>
      <c r="D31" s="43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1" s="42" t="n"/>
      <c r="F31" s="42" t="n"/>
    </row>
  </sheetData>
  <mergeCells count="41">
    <mergeCell ref="D11:F11"/>
    <mergeCell ref="B16:C16"/>
    <mergeCell ref="D10:E10"/>
    <mergeCell ref="B7:C7"/>
    <mergeCell ref="B25:C25"/>
    <mergeCell ref="D1:E1"/>
    <mergeCell ref="D27:F27"/>
    <mergeCell ref="B27:C27"/>
    <mergeCell ref="B18:F18"/>
    <mergeCell ref="B12:C12"/>
    <mergeCell ref="D28:F28"/>
    <mergeCell ref="D2:E2"/>
    <mergeCell ref="B11:C11"/>
    <mergeCell ref="D13:E13"/>
    <mergeCell ref="D12:F12"/>
    <mergeCell ref="B14:C14"/>
    <mergeCell ref="B23:F23"/>
    <mergeCell ref="B30:C31"/>
    <mergeCell ref="D25:F25"/>
    <mergeCell ref="B1:C3"/>
    <mergeCell ref="D24:F24"/>
    <mergeCell ref="B13:C13"/>
    <mergeCell ref="D16:E16"/>
    <mergeCell ref="B10:C10"/>
    <mergeCell ref="B28:C28"/>
    <mergeCell ref="D26:F26"/>
    <mergeCell ref="D3:E3"/>
    <mergeCell ref="D20:F20"/>
    <mergeCell ref="B9:F9"/>
    <mergeCell ref="B6:C6"/>
    <mergeCell ref="D19:F19"/>
    <mergeCell ref="B24:C24"/>
    <mergeCell ref="B15:C15"/>
    <mergeCell ref="D30:E30"/>
    <mergeCell ref="D15:E15"/>
    <mergeCell ref="D31:F31"/>
    <mergeCell ref="B5:F5"/>
    <mergeCell ref="D14:E14"/>
    <mergeCell ref="B26:C26"/>
    <mergeCell ref="D21:F21"/>
    <mergeCell ref="I9:P9"/>
  </mergeCells>
  <hyperlinks>
    <hyperlink xmlns:r="http://schemas.openxmlformats.org/officeDocument/2006/relationships" ref="F2" r:id="rId1"/>
    <hyperlink ref="C19" location="'Cadastros'!A1" display="Cadastros"/>
    <hyperlink ref="C20" location="'Auditoria'!A1" display="Auditoria"/>
    <hyperlink ref="C21" location="'Auditorias realizadas'!A1" display="Auditorias realizadas"/>
    <hyperlink xmlns:r="http://schemas.openxmlformats.org/officeDocument/2006/relationships" ref="F30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&amp;K4A5668PCM-MAN-013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  <tableParts count="3"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K21"/>
  <sheetViews>
    <sheetView showGridLines="0" tabSelected="0" zoomScale="9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1" customWidth="1" min="3" max="3"/>
    <col width="2" customWidth="1" min="4" max="4"/>
    <col width="4" customWidth="1" min="5" max="5"/>
    <col width="44" customWidth="1" min="6" max="6"/>
    <col width="11" customWidth="1" min="7" max="7"/>
    <col width="2" customWidth="1" min="8" max="8"/>
    <col width="4" customWidth="1" min="9" max="9"/>
    <col width="44" customWidth="1" min="10" max="10"/>
    <col width="11" customWidth="1" min="11" max="11"/>
  </cols>
  <sheetData>
    <row r="1" ht="30.75" customHeight="1">
      <c r="A1" s="44" t="n"/>
      <c r="B1" s="45" t="n"/>
      <c r="C1" s="46">
        <f>'Leia-me'!$D$10</f>
        <v/>
      </c>
      <c r="D1" s="47" t="n"/>
      <c r="E1" s="47" t="n"/>
      <c r="F1" s="47" t="n"/>
      <c r="G1" s="47" t="n"/>
      <c r="H1" s="47" t="n"/>
      <c r="I1" s="45" t="n"/>
      <c r="J1" s="48">
        <f>"Rev. "&amp;'Leia-me'!$D$15&amp;"   ·   "&amp;'Leia-me'!$D$16</f>
        <v/>
      </c>
      <c r="K1" s="45" t="n"/>
    </row>
    <row r="2" ht="28" customHeight="1">
      <c r="A2" s="49" t="n"/>
      <c r="B2" s="50" t="n"/>
      <c r="C2" s="51">
        <f>"Objetivo: "&amp;'Leia-me'!$D$11</f>
        <v/>
      </c>
      <c r="D2" s="52" t="n"/>
      <c r="E2" s="52" t="n"/>
      <c r="F2" s="52" t="n"/>
      <c r="G2" s="52" t="n"/>
      <c r="H2" s="52" t="n"/>
      <c r="I2" s="50" t="n"/>
      <c r="J2" s="51">
        <f>"Elaborado: "&amp;'Leia-me'!$D$13&amp;"   ·   Aprovado: "&amp;'Leia-me'!$D$14</f>
        <v/>
      </c>
      <c r="K2" s="50" t="n"/>
    </row>
    <row r="3" ht="12" customHeight="1">
      <c r="A3" s="53" t="inlineStr">
        <is>
          <t>Unidade auditada</t>
        </is>
      </c>
      <c r="B3" s="54" t="n"/>
      <c r="C3" s="54" t="n"/>
      <c r="D3" s="55" t="n"/>
      <c r="E3" s="56" t="inlineStr">
        <is>
          <t>Data da auditoria</t>
        </is>
      </c>
      <c r="F3" s="54" t="n"/>
      <c r="G3" s="54" t="n"/>
      <c r="H3" s="55" t="n"/>
      <c r="I3" s="56" t="inlineStr">
        <is>
          <t>Auditor</t>
        </is>
      </c>
      <c r="J3" s="54" t="n"/>
      <c r="K3" s="57" t="inlineStr">
        <is>
          <t>Conformidade</t>
        </is>
      </c>
    </row>
    <row r="4" ht="24" customHeight="1">
      <c r="A4" s="58" t="n"/>
      <c r="B4" s="22" t="n"/>
      <c r="C4" s="59" t="n"/>
      <c r="D4" s="60" t="n"/>
      <c r="E4" s="61" t="n"/>
      <c r="F4" s="22" t="n"/>
      <c r="G4" s="59" t="n"/>
      <c r="H4" s="60" t="n"/>
      <c r="I4" s="58" t="n"/>
      <c r="J4" s="59" t="n"/>
      <c r="K4" s="62">
        <f>IF((COUNTIF(C7:C11,"OK")+COUNTIF(G7:G11,"OK")+COUNTIF(K7:K10,"OK")+COUNTIF(C14:C17,"OK")+COUNTIF(G14:G18,"OK")+COUNTIF(K14:K20,"OK"))+(COUNTIF(C7:C11,"NOK")+COUNTIF(G7:G11,"NOK")+COUNTIF(K7:K10,"NOK")+COUNTIF(C14:C17,"NOK")+COUNTIF(G14:G18,"NOK")+COUNTIF(K14:K20,"NOK"))=0,"",(COUNTIF(C7:C11,"OK")+COUNTIF(G7:G11,"OK")+COUNTIF(K7:K10,"OK")+COUNTIF(C14:C17,"OK")+COUNTIF(G14:G18,"OK")+COUNTIF(K14:K20,"OK"))/((COUNTIF(C7:C11,"OK")+COUNTIF(G7:G11,"OK")+COUNTIF(K7:K10,"OK")+COUNTIF(C14:C17,"OK")+COUNTIF(G14:G18,"OK")+COUNTIF(K14:K20,"OK"))+(COUNTIF(C7:C11,"NOK")+COUNTIF(G7:G11,"NOK")+COUNTIF(K7:K10,"NOK")+COUNTIF(C14:C17,"NOK")+COUNTIF(G14:G18,"NOK")+COUNTIF(K14:K20,"NOK"))))</f>
        <v/>
      </c>
    </row>
    <row r="5" ht="8" customHeight="1">
      <c r="A5" s="63" t="n"/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</row>
    <row r="6" ht="24" customHeight="1">
      <c r="A6" s="64" t="inlineStr">
        <is>
          <r>
            <rPr>
              <rFont val="Arial"/>
              <b val="1"/>
              <color rgb="00FFFFFF"/>
              <sz val="10"/>
            </rPr>
            <t>A  Solicitação e ordem de serviço</t>
          </r>
          <r>
            <rPr>
              <rFont val="Arial"/>
              <color rgb="00D3DEEC"/>
              <sz val="8"/>
            </rPr>
            <t/>
          </r>
        </is>
      </c>
      <c r="B6" s="65" t="n"/>
      <c r="C6" s="66">
        <f>IF(COUNTIF(C7:C11,"OK")+COUNTIF(C7:C11,"NOK")=0,"",COUNTIF(C7:C11,"OK")/(COUNTIF(C7:C11,"OK")+COUNTIF(C7:C11,"NOK")))</f>
        <v/>
      </c>
      <c r="D6" s="63" t="n"/>
      <c r="E6" s="64" t="inlineStr">
        <is>
          <r>
            <rPr>
              <rFont val="Arial"/>
              <b val="1"/>
              <color rgb="00FFFFFF"/>
              <sz val="10"/>
            </rPr>
            <t>B  Preventiva e programação</t>
          </r>
          <r>
            <rPr>
              <rFont val="Arial"/>
              <color rgb="00D3DEEC"/>
              <sz val="8"/>
            </rPr>
            <t/>
          </r>
        </is>
      </c>
      <c r="F6" s="65" t="n"/>
      <c r="G6" s="66">
        <f>IF(COUNTIF(G7:G11,"OK")+COUNTIF(G7:G11,"NOK")=0,"",COUNTIF(G7:G11,"OK")/(COUNTIF(G7:G11,"OK")+COUNTIF(G7:G11,"NOK")))</f>
        <v/>
      </c>
      <c r="H6" s="63" t="n"/>
      <c r="I6" s="64" t="inlineStr">
        <is>
          <r>
            <rPr>
              <rFont val="Arial"/>
              <b val="1"/>
              <color rgb="00FFFFFF"/>
              <sz val="10"/>
            </rPr>
            <t>C  Estoque e peças</t>
          </r>
          <r>
            <rPr>
              <rFont val="Arial"/>
              <color rgb="00D3DEEC"/>
              <sz val="8"/>
            </rPr>
            <t/>
          </r>
        </is>
      </c>
      <c r="J6" s="65" t="n"/>
      <c r="K6" s="66">
        <f>IF(COUNTIF(K7:K10,"OK")+COUNTIF(K7:K10,"NOK")=0,"",COUNTIF(K7:K10,"OK")/(COUNTIF(K7:K10,"OK")+COUNTIF(K7:K10,"NOK")))</f>
        <v/>
      </c>
    </row>
    <row r="7" ht="24" customHeight="1">
      <c r="A7" s="67" t="n">
        <v>1</v>
      </c>
      <c r="B7" s="68" t="inlineStr">
        <is>
          <t>Existe um meio padrão para solicitar serviço</t>
        </is>
      </c>
      <c r="C7" s="69" t="n"/>
      <c r="D7" s="63" t="n"/>
      <c r="E7" s="67" t="n">
        <v>6</v>
      </c>
      <c r="F7" s="68" t="inlineStr">
        <is>
          <t>A preventiva é programada a partir do cadastro de ativos</t>
        </is>
      </c>
      <c r="G7" s="69" t="n"/>
      <c r="H7" s="63" t="n"/>
      <c r="I7" s="67" t="n">
        <v>11</v>
      </c>
      <c r="J7" s="68" t="inlineStr">
        <is>
          <t>As peças críticas estão definidas e em estoque</t>
        </is>
      </c>
      <c r="K7" s="69" t="n"/>
    </row>
    <row r="8" ht="24" customHeight="1">
      <c r="A8" s="67" t="n">
        <v>2</v>
      </c>
      <c r="B8" s="68" t="inlineStr">
        <is>
          <t>As solicitações são triadas por urgência e criticidade</t>
        </is>
      </c>
      <c r="C8" s="69" t="n"/>
      <c r="D8" s="63" t="n"/>
      <c r="E8" s="67" t="n">
        <v>7</v>
      </c>
      <c r="F8" s="68" t="inlineStr">
        <is>
          <t>A aderência à preventiva é medida</t>
        </is>
      </c>
      <c r="G8" s="69" t="n"/>
      <c r="H8" s="63" t="n"/>
      <c r="I8" s="67" t="n">
        <v>12</v>
      </c>
      <c r="J8" s="68" t="inlineStr">
        <is>
          <t>O almoxarifado é controlado e a saída é contra OS</t>
        </is>
      </c>
      <c r="K8" s="69" t="n"/>
    </row>
    <row r="9" ht="24" customHeight="1">
      <c r="A9" s="67" t="n">
        <v>3</v>
      </c>
      <c r="B9" s="68" t="inlineStr">
        <is>
          <t>Todo serviço tem OS com responsável, prioridade e prazo</t>
        </is>
      </c>
      <c r="C9" s="69" t="n"/>
      <c r="D9" s="63" t="n"/>
      <c r="E9" s="67" t="n">
        <v>8</v>
      </c>
      <c r="F9" s="68" t="inlineStr">
        <is>
          <t>As instruções de preventiva estão atualizadas</t>
        </is>
      </c>
      <c r="G9" s="69" t="n"/>
      <c r="H9" s="63" t="n"/>
      <c r="I9" s="67" t="n">
        <v>13</v>
      </c>
      <c r="J9" s="68" t="inlineStr">
        <is>
          <t>Ponto de pedido e prazo de entrega estão definidos</t>
        </is>
      </c>
      <c r="K9" s="69" t="n"/>
    </row>
    <row r="10" ht="24" customHeight="1">
      <c r="A10" s="67" t="n">
        <v>4</v>
      </c>
      <c r="B10" s="68" t="inlineStr">
        <is>
          <t>As OS são encerradas formalmente</t>
        </is>
      </c>
      <c r="C10" s="69" t="n"/>
      <c r="D10" s="63" t="n"/>
      <c r="E10" s="67" t="n">
        <v>9</v>
      </c>
      <c r="F10" s="68" t="inlineStr">
        <is>
          <t>O serviço é planejado, com peças e acesso garantidos</t>
        </is>
      </c>
      <c r="G10" s="69" t="n"/>
      <c r="H10" s="63" t="n"/>
      <c r="I10" s="67" t="n">
        <v>14</v>
      </c>
      <c r="J10" s="68" t="inlineStr">
        <is>
          <t>As peças listadas existem fisicamente</t>
        </is>
      </c>
      <c r="K10" s="69" t="n"/>
    </row>
    <row r="11" ht="24" customHeight="1">
      <c r="A11" s="67" t="n">
        <v>5</v>
      </c>
      <c r="B11" s="68" t="inlineStr">
        <is>
          <t>O tipo de serviço (preventivo, corretivo etc.) é registrado</t>
        </is>
      </c>
      <c r="C11" s="69" t="n"/>
      <c r="D11" s="63" t="n"/>
      <c r="E11" s="67" t="n">
        <v>10</v>
      </c>
      <c r="F11" s="68" t="inlineStr">
        <is>
          <t>O backlog é visível e revisado</t>
        </is>
      </c>
      <c r="G11" s="69" t="n"/>
      <c r="H11" s="63" t="n"/>
      <c r="I11" s="63" t="n"/>
      <c r="J11" s="63" t="n"/>
      <c r="K11" s="63" t="n"/>
    </row>
    <row r="12" ht="8" customHeight="1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</row>
    <row r="13" ht="24" customHeight="1">
      <c r="A13" s="64" t="inlineStr">
        <is>
          <r>
            <rPr>
              <rFont val="Arial"/>
              <b val="1"/>
              <color rgb="00FFFFFF"/>
              <sz val="10"/>
            </rPr>
            <t>D  Cadastro de ativos e registros</t>
          </r>
          <r>
            <rPr>
              <rFont val="Arial"/>
              <color rgb="00D3DEEC"/>
              <sz val="8"/>
            </rPr>
            <t/>
          </r>
        </is>
      </c>
      <c r="B13" s="65" t="n"/>
      <c r="C13" s="66">
        <f>IF(COUNTIF(C14:C17,"OK")+COUNTIF(C14:C17,"NOK")=0,"",COUNTIF(C14:C17,"OK")/(COUNTIF(C14:C17,"OK")+COUNTIF(C14:C17,"NOK")))</f>
        <v/>
      </c>
      <c r="D13" s="63" t="n"/>
      <c r="E13" s="64" t="inlineStr">
        <is>
          <r>
            <rPr>
              <rFont val="Arial"/>
              <b val="1"/>
              <color rgb="00FFFFFF"/>
              <sz val="10"/>
            </rPr>
            <t>E  Segurança e terceiros</t>
          </r>
          <r>
            <rPr>
              <rFont val="Arial"/>
              <color rgb="00D3DEEC"/>
              <sz val="8"/>
            </rPr>
            <t/>
          </r>
        </is>
      </c>
      <c r="F13" s="65" t="n"/>
      <c r="G13" s="66">
        <f>IF(COUNTIF(G14:G18,"OK")+COUNTIF(G14:G18,"NOK")=0,"",COUNTIF(G14:G18,"OK")/(COUNTIF(G14:G18,"OK")+COUNTIF(G14:G18,"NOK")))</f>
        <v/>
      </c>
      <c r="H13" s="63" t="n"/>
      <c r="I13" s="64" t="inlineStr">
        <is>
          <r>
            <rPr>
              <rFont val="Arial"/>
              <b val="1"/>
              <color rgb="00FFFFFF"/>
              <sz val="10"/>
            </rPr>
            <t>F  Indicadores e melhoria</t>
          </r>
          <r>
            <rPr>
              <rFont val="Arial"/>
              <color rgb="00D3DEEC"/>
              <sz val="8"/>
            </rPr>
            <t/>
          </r>
        </is>
      </c>
      <c r="J13" s="65" t="n"/>
      <c r="K13" s="66">
        <f>IF(COUNTIF(K14:K20,"OK")+COUNTIF(K14:K20,"NOK")=0,"",COUNTIF(K14:K20,"OK")/(COUNTIF(K14:K20,"OK")+COUNTIF(K14:K20,"NOK")))</f>
        <v/>
      </c>
    </row>
    <row r="14" ht="24" customHeight="1">
      <c r="A14" s="67" t="n">
        <v>15</v>
      </c>
      <c r="B14" s="68" t="inlineStr">
        <is>
          <t>O cadastro de ativos está atualizado, com TAG única</t>
        </is>
      </c>
      <c r="C14" s="69" t="n"/>
      <c r="D14" s="63" t="n"/>
      <c r="E14" s="67" t="n">
        <v>19</v>
      </c>
      <c r="F14" s="68" t="inlineStr">
        <is>
          <t>Bloqueio, permissão de trabalho e etiquetagem estão documentados</t>
        </is>
      </c>
      <c r="G14" s="69" t="n"/>
      <c r="H14" s="63" t="n"/>
      <c r="I14" s="67" t="n">
        <v>24</v>
      </c>
      <c r="J14" s="68" t="inlineStr">
        <is>
          <t>A proporção planejado x corretivo é acompanhada</t>
        </is>
      </c>
      <c r="K14" s="69" t="n"/>
    </row>
    <row r="15" ht="24" customHeight="1">
      <c r="A15" s="67" t="n">
        <v>16</v>
      </c>
      <c r="B15" s="68" t="inlineStr">
        <is>
          <t>O histórico de cada ativo está completo</t>
        </is>
      </c>
      <c r="C15" s="69" t="n"/>
      <c r="D15" s="63" t="n"/>
      <c r="E15" s="67" t="n">
        <v>20</v>
      </c>
      <c r="F15" s="68" t="inlineStr">
        <is>
          <t>Máquinas inspecionadas conforme as normas aplicáveis</t>
        </is>
      </c>
      <c r="G15" s="69" t="n"/>
      <c r="H15" s="63" t="n"/>
      <c r="I15" s="67" t="n">
        <v>25</v>
      </c>
      <c r="J15" s="68" t="inlineStr">
        <is>
          <t>Parada e custo são medidos por ativo</t>
        </is>
      </c>
      <c r="K15" s="69" t="n"/>
    </row>
    <row r="16" ht="24" customHeight="1">
      <c r="A16" s="67" t="n">
        <v>17</v>
      </c>
      <c r="B16" s="68" t="inlineStr">
        <is>
          <t>Os registros resistem a uma auditoria</t>
        </is>
      </c>
      <c r="C16" s="69" t="n"/>
      <c r="D16" s="63" t="n"/>
      <c r="E16" s="67" t="n">
        <v>21</v>
      </c>
      <c r="F16" s="68" t="inlineStr">
        <is>
          <t>Análises de risco e procedimentos seguros existem</t>
        </is>
      </c>
      <c r="G16" s="69" t="n"/>
      <c r="H16" s="63" t="n"/>
      <c r="I16" s="67" t="n">
        <v>26</v>
      </c>
      <c r="J16" s="68" t="inlineStr">
        <is>
          <t>A gestão analisa os indicadores</t>
        </is>
      </c>
      <c r="K16" s="69" t="n"/>
    </row>
    <row r="17" ht="24" customHeight="1">
      <c r="A17" s="67" t="n">
        <v>18</v>
      </c>
      <c r="B17" s="68" t="inlineStr">
        <is>
          <t>Registros legais e do fabricante são guardados</t>
        </is>
      </c>
      <c r="C17" s="69" t="n"/>
      <c r="D17" s="63" t="n"/>
      <c r="E17" s="67" t="n">
        <v>22</v>
      </c>
      <c r="F17" s="68" t="inlineStr">
        <is>
          <t>Terceiros são integrados e verificados</t>
        </is>
      </c>
      <c r="G17" s="69" t="n"/>
      <c r="H17" s="63" t="n"/>
      <c r="I17" s="67" t="n">
        <v>27</v>
      </c>
      <c r="J17" s="68" t="inlineStr">
        <is>
          <t>Falhas repetidas têm análise de causa raiz</t>
        </is>
      </c>
      <c r="K17" s="69" t="n"/>
    </row>
    <row r="18" ht="24" customHeight="1">
      <c r="A18" s="63" t="n"/>
      <c r="B18" s="63" t="n"/>
      <c r="C18" s="63" t="n"/>
      <c r="D18" s="63" t="n"/>
      <c r="E18" s="67" t="n">
        <v>23</v>
      </c>
      <c r="F18" s="68" t="inlineStr">
        <is>
          <t>Instrumentos e ferramentas de teste estão calibrados</t>
        </is>
      </c>
      <c r="G18" s="69" t="n"/>
      <c r="H18" s="63" t="n"/>
      <c r="I18" s="67" t="n">
        <v>28</v>
      </c>
      <c r="J18" s="68" t="inlineStr">
        <is>
          <t>O plano de gestão da manutenção está atualizado</t>
        </is>
      </c>
      <c r="K18" s="69" t="n"/>
    </row>
    <row r="19" ht="24" customHeight="1">
      <c r="A19" s="63" t="n"/>
      <c r="B19" s="63" t="n"/>
      <c r="C19" s="63" t="n"/>
      <c r="D19" s="63" t="n"/>
      <c r="E19" s="63" t="n"/>
      <c r="F19" s="63" t="n"/>
      <c r="G19" s="63" t="n"/>
      <c r="H19" s="63" t="n"/>
      <c r="I19" s="67" t="n">
        <v>29</v>
      </c>
      <c r="J19" s="68" t="inlineStr">
        <is>
          <t>Ações da auditoria anterior foram fechadas</t>
        </is>
      </c>
      <c r="K19" s="69" t="n"/>
    </row>
    <row r="20" ht="24" customHeight="1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7" t="n">
        <v>30</v>
      </c>
      <c r="J20" s="68" t="inlineStr">
        <is>
          <t>A equipe é treinada e competente</t>
        </is>
      </c>
      <c r="K20" s="69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</row>
  </sheetData>
  <mergeCells count="17">
    <mergeCell ref="I4:J4"/>
    <mergeCell ref="E6:F6"/>
    <mergeCell ref="I6:J6"/>
    <mergeCell ref="J2:K2"/>
    <mergeCell ref="C1:I1"/>
    <mergeCell ref="J1:K1"/>
    <mergeCell ref="A13:B13"/>
    <mergeCell ref="A1:B2"/>
    <mergeCell ref="E4:G4"/>
    <mergeCell ref="A3:C3"/>
    <mergeCell ref="E3:G3"/>
    <mergeCell ref="E13:F13"/>
    <mergeCell ref="I13:J13"/>
    <mergeCell ref="A4:C4"/>
    <mergeCell ref="C2:I2"/>
    <mergeCell ref="A6:B6"/>
    <mergeCell ref="I3:J3"/>
  </mergeCells>
  <conditionalFormatting sqref="C7:C11">
    <cfRule type="expression" priority="1" dxfId="0" stopIfTrue="1">
      <formula>C7="OK"</formula>
    </cfRule>
    <cfRule type="expression" priority="2" dxfId="1" stopIfTrue="1">
      <formula>C7="NOK"</formula>
    </cfRule>
    <cfRule type="expression" priority="3" dxfId="2" stopIfTrue="1">
      <formula>C7="NA"</formula>
    </cfRule>
  </conditionalFormatting>
  <conditionalFormatting sqref="G7:G11">
    <cfRule type="expression" priority="4" dxfId="0" stopIfTrue="1">
      <formula>G7="OK"</formula>
    </cfRule>
    <cfRule type="expression" priority="5" dxfId="1" stopIfTrue="1">
      <formula>G7="NOK"</formula>
    </cfRule>
    <cfRule type="expression" priority="6" dxfId="2" stopIfTrue="1">
      <formula>G7="NA"</formula>
    </cfRule>
  </conditionalFormatting>
  <conditionalFormatting sqref="K7:K10">
    <cfRule type="expression" priority="7" dxfId="0" stopIfTrue="1">
      <formula>K7="OK"</formula>
    </cfRule>
    <cfRule type="expression" priority="8" dxfId="1" stopIfTrue="1">
      <formula>K7="NOK"</formula>
    </cfRule>
    <cfRule type="expression" priority="9" dxfId="2" stopIfTrue="1">
      <formula>K7="NA"</formula>
    </cfRule>
  </conditionalFormatting>
  <conditionalFormatting sqref="C14:C17">
    <cfRule type="expression" priority="10" dxfId="0" stopIfTrue="1">
      <formula>C14="OK"</formula>
    </cfRule>
    <cfRule type="expression" priority="11" dxfId="1" stopIfTrue="1">
      <formula>C14="NOK"</formula>
    </cfRule>
    <cfRule type="expression" priority="12" dxfId="2" stopIfTrue="1">
      <formula>C14="NA"</formula>
    </cfRule>
  </conditionalFormatting>
  <conditionalFormatting sqref="G14:G18">
    <cfRule type="expression" priority="13" dxfId="0" stopIfTrue="1">
      <formula>G14="OK"</formula>
    </cfRule>
    <cfRule type="expression" priority="14" dxfId="1" stopIfTrue="1">
      <formula>G14="NOK"</formula>
    </cfRule>
    <cfRule type="expression" priority="15" dxfId="2" stopIfTrue="1">
      <formula>G14="NA"</formula>
    </cfRule>
  </conditionalFormatting>
  <conditionalFormatting sqref="K14:K20">
    <cfRule type="expression" priority="16" dxfId="0" stopIfTrue="1">
      <formula>K14="OK"</formula>
    </cfRule>
    <cfRule type="expression" priority="17" dxfId="1" stopIfTrue="1">
      <formula>K14="NOK"</formula>
    </cfRule>
    <cfRule type="expression" priority="18" dxfId="2" stopIfTrue="1">
      <formula>K14="NA"</formula>
    </cfRule>
  </conditionalFormatting>
  <conditionalFormatting sqref="K4">
    <cfRule type="expression" priority="19" dxfId="1" stopIfTrue="1">
      <formula>AND(ISNUMBER($K$4),$K$4&lt;0.5)</formula>
    </cfRule>
    <cfRule type="expression" priority="20" dxfId="3" stopIfTrue="1">
      <formula>AND(ISNUMBER($K$4),$K$4&lt;0.8)</formula>
    </cfRule>
    <cfRule type="expression" priority="21" dxfId="0" stopIfTrue="1">
      <formula>AND(ISNUMBER($K$4),$K$4&gt;=0.8)</formula>
    </cfRule>
  </conditionalFormatting>
  <dataValidations count="8">
    <dataValidation sqref="E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I4" showDropDown="0" showInputMessage="0" showErrorMessage="1" allowBlank="1" errorTitle="Valor fora da lista" error="Escolha um item da lista." type="list" errorStyle="stop">
      <formula1>L_PESSOAS</formula1>
    </dataValidation>
    <dataValidation sqref="C7:C11" showDropDown="0" showInputMessage="0" showErrorMessage="1" allowBlank="1" errorTitle="Valor fora da lista" error="Escolha um item da lista." type="list" errorStyle="stop">
      <formula1>"OK,NOK,NA"</formula1>
    </dataValidation>
    <dataValidation sqref="G7:G11" showDropDown="0" showInputMessage="0" showErrorMessage="1" allowBlank="1" errorTitle="Valor fora da lista" error="Escolha um item da lista." type="list" errorStyle="stop">
      <formula1>"OK,NOK,NA"</formula1>
    </dataValidation>
    <dataValidation sqref="K7:K10" showDropDown="0" showInputMessage="0" showErrorMessage="1" allowBlank="1" errorTitle="Valor fora da lista" error="Escolha um item da lista." type="list" errorStyle="stop">
      <formula1>"OK,NOK,NA"</formula1>
    </dataValidation>
    <dataValidation sqref="C14:C17" showDropDown="0" showInputMessage="0" showErrorMessage="1" allowBlank="1" errorTitle="Valor fora da lista" error="Escolha um item da lista." type="list" errorStyle="stop">
      <formula1>"OK,NOK,NA"</formula1>
    </dataValidation>
    <dataValidation sqref="G14:G18" showDropDown="0" showInputMessage="0" showErrorMessage="1" allowBlank="1" errorTitle="Valor fora da lista" error="Escolha um item da lista." type="list" errorStyle="stop">
      <formula1>"OK,NOK,NA"</formula1>
    </dataValidation>
    <dataValidation sqref="K14:K20" showDropDown="0" showInputMessage="0" showErrorMessage="1" allowBlank="1" errorTitle="Valor fora da lista" error="Escolha um item da lista." type="list" errorStyle="stop">
      <formula1>"OK,NOK,NA"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F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.2" customWidth="1" min="1" max="1"/>
    <col width="18.3" customWidth="1" min="2" max="2"/>
    <col width="30" customWidth="1" min="3" max="3"/>
    <col width="18.3" customWidth="1" min="4" max="4"/>
    <col width="44.3" customWidth="1" min="5" max="5"/>
    <col width="30" customWidth="1" min="6" max="6"/>
  </cols>
  <sheetData>
    <row r="1" ht="30.75" customHeight="1">
      <c r="A1" s="70" t="n"/>
      <c r="B1" s="46" t="inlineStr">
        <is>
          <t>Auditorias realizadas</t>
        </is>
      </c>
      <c r="C1" s="47" t="n"/>
      <c r="D1" s="47" t="n"/>
      <c r="E1" s="45" t="n"/>
      <c r="F1" s="71">
        <f>"Rev. "&amp;'Leia-me'!$D$15&amp;"   ·   "&amp;'Leia-me'!$D$16</f>
        <v/>
      </c>
    </row>
    <row r="2" ht="28" customHeight="1">
      <c r="A2" s="72" t="n"/>
      <c r="B2" s="51" t="inlineStr">
        <is>
          <t>Objetivo: Registro: uma linha por auditoria, com data, setor, tipo, escopo e auditor</t>
        </is>
      </c>
      <c r="C2" s="52" t="n"/>
      <c r="D2" s="52" t="n"/>
      <c r="E2" s="50" t="n"/>
      <c r="F2" s="73">
        <f>"Elaborado: "&amp;'Leia-me'!$D$13&amp;"   ·   Aprovado: "&amp;'Leia-me'!$D$14</f>
        <v/>
      </c>
    </row>
    <row r="3" ht="26" customHeight="1">
      <c r="A3" s="74" t="inlineStr">
        <is>
          <t>Nº da auditoria</t>
        </is>
      </c>
      <c r="B3" s="75" t="inlineStr">
        <is>
          <t>Data</t>
        </is>
      </c>
      <c r="C3" s="75" t="inlineStr">
        <is>
          <t>Setor auditado ▼</t>
        </is>
      </c>
      <c r="D3" s="75" t="inlineStr">
        <is>
          <t>Tipo ▼</t>
        </is>
      </c>
      <c r="E3" s="75" t="inlineStr">
        <is>
          <t>Escopo</t>
        </is>
      </c>
      <c r="F3" s="76" t="inlineStr">
        <is>
          <t>Auditor ▼</t>
        </is>
      </c>
    </row>
    <row r="4" hidden="1">
      <c r="A4" s="77" t="inlineStr">
        <is>
          <t>numero_auditoria</t>
        </is>
      </c>
      <c r="B4" s="77" t="inlineStr">
        <is>
          <t>data_auditoria</t>
        </is>
      </c>
      <c r="C4" s="77" t="inlineStr">
        <is>
          <t>setor</t>
        </is>
      </c>
      <c r="D4" s="77" t="inlineStr">
        <is>
          <t>tipo_auditoria</t>
        </is>
      </c>
      <c r="E4" s="77" t="inlineStr">
        <is>
          <t>escopo</t>
        </is>
      </c>
      <c r="F4" s="77" t="inlineStr">
        <is>
          <t>auditor</t>
        </is>
      </c>
    </row>
    <row r="5" ht="22" customHeight="1">
      <c r="A5" s="78" t="n"/>
      <c r="B5" s="79" t="n"/>
      <c r="C5" s="80" t="n"/>
      <c r="D5" s="81" t="n"/>
      <c r="E5" s="82" t="n"/>
      <c r="F5" s="83" t="n"/>
    </row>
    <row r="6" ht="22" customHeight="1">
      <c r="A6" s="78" t="n"/>
      <c r="B6" s="79" t="n"/>
      <c r="C6" s="80" t="n"/>
      <c r="D6" s="81" t="n"/>
      <c r="E6" s="82" t="n"/>
      <c r="F6" s="83" t="n"/>
    </row>
    <row r="7" ht="22" customHeight="1">
      <c r="A7" s="78" t="n"/>
      <c r="B7" s="79" t="n"/>
      <c r="C7" s="80" t="n"/>
      <c r="D7" s="81" t="n"/>
      <c r="E7" s="82" t="n"/>
      <c r="F7" s="83" t="n"/>
    </row>
    <row r="8" ht="22" customHeight="1">
      <c r="A8" s="78" t="n"/>
      <c r="B8" s="79" t="n"/>
      <c r="C8" s="80" t="n"/>
      <c r="D8" s="81" t="n"/>
      <c r="E8" s="82" t="n"/>
      <c r="F8" s="83" t="n"/>
    </row>
    <row r="9" ht="22" customHeight="1">
      <c r="A9" s="78" t="n"/>
      <c r="B9" s="79" t="n"/>
      <c r="C9" s="80" t="n"/>
      <c r="D9" s="81" t="n"/>
      <c r="E9" s="82" t="n"/>
      <c r="F9" s="83" t="n"/>
    </row>
    <row r="10" ht="22" customHeight="1">
      <c r="A10" s="78" t="n"/>
      <c r="B10" s="79" t="n"/>
      <c r="C10" s="80" t="n"/>
      <c r="D10" s="81" t="n"/>
      <c r="E10" s="82" t="n"/>
      <c r="F10" s="83" t="n"/>
    </row>
    <row r="11" ht="22" customHeight="1">
      <c r="A11" s="78" t="n"/>
      <c r="B11" s="79" t="n"/>
      <c r="C11" s="80" t="n"/>
      <c r="D11" s="81" t="n"/>
      <c r="E11" s="82" t="n"/>
      <c r="F11" s="83" t="n"/>
    </row>
    <row r="12" ht="22" customHeight="1">
      <c r="A12" s="78" t="n"/>
      <c r="B12" s="79" t="n"/>
      <c r="C12" s="80" t="n"/>
      <c r="D12" s="81" t="n"/>
      <c r="E12" s="82" t="n"/>
      <c r="F12" s="83" t="n"/>
    </row>
    <row r="13" ht="22" customHeight="1">
      <c r="A13" s="78" t="n"/>
      <c r="B13" s="79" t="n"/>
      <c r="C13" s="80" t="n"/>
      <c r="D13" s="81" t="n"/>
      <c r="E13" s="82" t="n"/>
      <c r="F13" s="83" t="n"/>
    </row>
    <row r="14" ht="22" customHeight="1">
      <c r="A14" s="78" t="n"/>
      <c r="B14" s="79" t="n"/>
      <c r="C14" s="80" t="n"/>
      <c r="D14" s="81" t="n"/>
      <c r="E14" s="82" t="n"/>
      <c r="F14" s="83" t="n"/>
    </row>
    <row r="15" ht="22" customHeight="1">
      <c r="A15" s="78" t="n"/>
      <c r="B15" s="79" t="n"/>
      <c r="C15" s="80" t="n"/>
      <c r="D15" s="81" t="n"/>
      <c r="E15" s="82" t="n"/>
      <c r="F15" s="83" t="n"/>
    </row>
    <row r="16" ht="22" customHeight="1">
      <c r="A16" s="78" t="n"/>
      <c r="B16" s="79" t="n"/>
      <c r="C16" s="80" t="n"/>
      <c r="D16" s="81" t="n"/>
      <c r="E16" s="82" t="n"/>
      <c r="F16" s="83" t="n"/>
    </row>
    <row r="17" ht="22" customHeight="1">
      <c r="A17" s="78" t="n"/>
      <c r="B17" s="79" t="n"/>
      <c r="C17" s="80" t="n"/>
      <c r="D17" s="81" t="n"/>
      <c r="E17" s="82" t="n"/>
      <c r="F17" s="83" t="n"/>
    </row>
    <row r="18" ht="22" customHeight="1">
      <c r="A18" s="78" t="n"/>
      <c r="B18" s="79" t="n"/>
      <c r="C18" s="80" t="n"/>
      <c r="D18" s="81" t="n"/>
      <c r="E18" s="82" t="n"/>
      <c r="F18" s="83" t="n"/>
    </row>
    <row r="19" ht="22" customHeight="1">
      <c r="A19" s="78" t="n"/>
      <c r="B19" s="79" t="n"/>
      <c r="C19" s="80" t="n"/>
      <c r="D19" s="81" t="n"/>
      <c r="E19" s="82" t="n"/>
      <c r="F19" s="83" t="n"/>
    </row>
    <row r="20" ht="22" customHeight="1">
      <c r="A20" s="78" t="n"/>
      <c r="B20" s="79" t="n"/>
      <c r="C20" s="80" t="n"/>
      <c r="D20" s="81" t="n"/>
      <c r="E20" s="82" t="n"/>
      <c r="F20" s="83" t="n"/>
    </row>
    <row r="21" ht="22" customHeight="1">
      <c r="A21" s="78" t="n"/>
      <c r="B21" s="79" t="n"/>
      <c r="C21" s="80" t="n"/>
      <c r="D21" s="81" t="n"/>
      <c r="E21" s="82" t="n"/>
      <c r="F21" s="83" t="n"/>
    </row>
    <row r="22" ht="22" customHeight="1">
      <c r="A22" s="78" t="n"/>
      <c r="B22" s="79" t="n"/>
      <c r="C22" s="80" t="n"/>
      <c r="D22" s="81" t="n"/>
      <c r="E22" s="82" t="n"/>
      <c r="F22" s="83" t="n"/>
    </row>
    <row r="23" ht="22" customHeight="1">
      <c r="A23" s="78" t="n"/>
      <c r="B23" s="79" t="n"/>
      <c r="C23" s="80" t="n"/>
      <c r="D23" s="81" t="n"/>
      <c r="E23" s="82" t="n"/>
      <c r="F23" s="83" t="n"/>
    </row>
    <row r="24" ht="22" customHeight="1">
      <c r="A24" s="78" t="n"/>
      <c r="B24" s="79" t="n"/>
      <c r="C24" s="80" t="n"/>
      <c r="D24" s="81" t="n"/>
      <c r="E24" s="82" t="n"/>
      <c r="F24" s="83" t="n"/>
    </row>
    <row r="25" ht="22" customHeight="1">
      <c r="A25" s="78" t="n"/>
      <c r="B25" s="79" t="n"/>
      <c r="C25" s="80" t="n"/>
      <c r="D25" s="81" t="n"/>
      <c r="E25" s="82" t="n"/>
      <c r="F25" s="83" t="n"/>
    </row>
    <row r="26" ht="22" customHeight="1">
      <c r="A26" s="78" t="n"/>
      <c r="B26" s="79" t="n"/>
      <c r="C26" s="80" t="n"/>
      <c r="D26" s="81" t="n"/>
      <c r="E26" s="82" t="n"/>
      <c r="F26" s="83" t="n"/>
    </row>
    <row r="27" ht="22" customHeight="1">
      <c r="A27" s="78" t="n"/>
      <c r="B27" s="79" t="n"/>
      <c r="C27" s="80" t="n"/>
      <c r="D27" s="81" t="n"/>
      <c r="E27" s="82" t="n"/>
      <c r="F27" s="83" t="n"/>
    </row>
    <row r="28" ht="22" customHeight="1">
      <c r="A28" s="78" t="n"/>
      <c r="B28" s="79" t="n"/>
      <c r="C28" s="80" t="n"/>
      <c r="D28" s="81" t="n"/>
      <c r="E28" s="82" t="n"/>
      <c r="F28" s="83" t="n"/>
    </row>
    <row r="29" ht="22" customHeight="1">
      <c r="A29" s="84" t="n"/>
      <c r="B29" s="85" t="n"/>
      <c r="C29" s="86" t="n"/>
      <c r="D29" s="87" t="n"/>
      <c r="E29" s="88" t="n"/>
      <c r="F29" s="89" t="n"/>
    </row>
    <row r="30" ht="20" customHeight="1">
      <c r="A30" s="90" t="inlineStr">
        <is>
          <t xml:space="preserve"> </t>
        </is>
      </c>
    </row>
  </sheetData>
  <mergeCells count="6">
    <mergeCell ref="F1"/>
    <mergeCell ref="B1:E1"/>
    <mergeCell ref="F2"/>
    <mergeCell ref="B2:E2"/>
    <mergeCell ref="A30:F30"/>
    <mergeCell ref="A1:A2"/>
  </mergeCells>
  <dataValidations count="4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C5:C29" showDropDown="0" showInputMessage="0" showErrorMessage="1" allowBlank="1" errorTitle="Valor fora da lista" error="Escolha um item da lista." type="list" errorStyle="stop">
      <formula1>L_SETORES</formula1>
    </dataValidation>
    <dataValidation sqref="D5:D29" showDropDown="0" showInputMessage="0" showErrorMessage="1" allowBlank="1" errorTitle="Valor fora da lista" error="Escolha um item da lista." type="list" errorStyle="stop">
      <formula1>L_TIPO_AUD</formula1>
    </dataValidation>
    <dataValidation sqref="F5:F29" showDropDown="0" showInputMessage="0" showErrorMessage="1" allowBlank="1" errorTitle="Valor fora da lista" error="Escolha um item da lista." type="list" errorStyle="stop">
      <formula1>L_PESSOAS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44" t="n"/>
      <c r="B1" s="45" t="n"/>
      <c r="C1" s="46" t="inlineStr">
        <is>
          <t>Cadastros</t>
        </is>
      </c>
      <c r="D1" s="47" t="n"/>
      <c r="E1" s="47" t="n"/>
      <c r="F1" s="47" t="n"/>
      <c r="G1" s="45" t="n"/>
      <c r="H1" s="48">
        <f>"Rev. "&amp;'Leia-me'!$D$15&amp;"   ·   "&amp;'Leia-me'!$D$16</f>
        <v/>
      </c>
      <c r="I1" s="47" t="n"/>
      <c r="J1" s="45" t="n"/>
    </row>
    <row r="2" ht="28" customHeight="1">
      <c r="A2" s="49" t="n"/>
      <c r="B2" s="50" t="n"/>
      <c r="C2" s="51" t="inlineStr">
        <is>
          <t>Objetivo: Cadastre aqui os itens usados nas listas (▼) das outras abas.</t>
        </is>
      </c>
      <c r="D2" s="52" t="n"/>
      <c r="E2" s="52" t="n"/>
      <c r="F2" s="52" t="n"/>
      <c r="G2" s="50" t="n"/>
      <c r="H2" s="51">
        <f>"Elaborado: "&amp;'Leia-me'!$D$13&amp;"   ·   Aprovado: "&amp;'Leia-me'!$D$14</f>
        <v/>
      </c>
      <c r="I2" s="52" t="n"/>
      <c r="J2" s="50" t="n"/>
    </row>
    <row r="3" ht="32" customHeight="1">
      <c r="A3" s="74" t="inlineStr">
        <is>
          <t>TAG</t>
        </is>
      </c>
      <c r="B3" s="75" t="inlineStr">
        <is>
          <t>Equipamento</t>
        </is>
      </c>
      <c r="C3" s="75" t="inlineStr">
        <is>
          <t>Família de equipamento ▼</t>
        </is>
      </c>
      <c r="D3" s="76" t="inlineStr">
        <is>
          <t>Setor ▼</t>
        </is>
      </c>
      <c r="F3" s="91" t="inlineStr">
        <is>
          <t>Responsável</t>
        </is>
      </c>
      <c r="H3" s="91" t="inlineStr">
        <is>
          <t>Família de equipamento</t>
        </is>
      </c>
      <c r="J3" s="91" t="inlineStr">
        <is>
          <t>Setor</t>
        </is>
      </c>
    </row>
    <row r="4" hidden="1">
      <c r="A4" s="77" t="inlineStr">
        <is>
          <t>tag</t>
        </is>
      </c>
      <c r="B4" s="77" t="inlineStr">
        <is>
          <t>descricao_ativo</t>
        </is>
      </c>
      <c r="C4" s="77" t="inlineStr">
        <is>
          <t>familia</t>
        </is>
      </c>
      <c r="D4" s="77" t="inlineStr">
        <is>
          <t>setor</t>
        </is>
      </c>
      <c r="F4" s="77" t="inlineStr">
        <is>
          <t>nome_pessoa</t>
        </is>
      </c>
      <c r="H4" s="77" t="inlineStr">
        <is>
          <t>nome_familia</t>
        </is>
      </c>
      <c r="J4" s="77" t="inlineStr">
        <is>
          <t>nome_setor</t>
        </is>
      </c>
    </row>
    <row r="5" ht="22" customHeight="1">
      <c r="A5" s="78" t="n"/>
      <c r="B5" s="80" t="n"/>
      <c r="C5" s="80" t="n"/>
      <c r="D5" s="83" t="n"/>
      <c r="F5" s="92" t="n"/>
      <c r="H5" s="92" t="n"/>
      <c r="J5" s="92" t="n"/>
    </row>
    <row r="6" ht="22" customHeight="1">
      <c r="A6" s="78" t="n"/>
      <c r="B6" s="80" t="n"/>
      <c r="C6" s="80" t="n"/>
      <c r="D6" s="83" t="n"/>
      <c r="F6" s="92" t="n"/>
      <c r="H6" s="92" t="n"/>
      <c r="J6" s="92" t="n"/>
    </row>
    <row r="7" ht="22" customHeight="1">
      <c r="A7" s="78" t="n"/>
      <c r="B7" s="80" t="n"/>
      <c r="C7" s="80" t="n"/>
      <c r="D7" s="83" t="n"/>
      <c r="F7" s="92" t="n"/>
      <c r="H7" s="92" t="n"/>
      <c r="J7" s="92" t="n"/>
    </row>
    <row r="8" ht="22" customHeight="1">
      <c r="A8" s="78" t="n"/>
      <c r="B8" s="80" t="n"/>
      <c r="C8" s="80" t="n"/>
      <c r="D8" s="83" t="n"/>
      <c r="F8" s="92" t="n"/>
      <c r="H8" s="92" t="n"/>
      <c r="J8" s="92" t="n"/>
    </row>
    <row r="9" ht="22" customHeight="1">
      <c r="A9" s="78" t="n"/>
      <c r="B9" s="80" t="n"/>
      <c r="C9" s="80" t="n"/>
      <c r="D9" s="83" t="n"/>
      <c r="F9" s="92" t="n"/>
      <c r="H9" s="92" t="n"/>
      <c r="J9" s="92" t="n"/>
    </row>
    <row r="10" ht="22" customHeight="1">
      <c r="A10" s="78" t="n"/>
      <c r="B10" s="80" t="n"/>
      <c r="C10" s="80" t="n"/>
      <c r="D10" s="83" t="n"/>
      <c r="F10" s="92" t="n"/>
      <c r="H10" s="92" t="n"/>
      <c r="J10" s="92" t="n"/>
    </row>
    <row r="11" ht="22" customHeight="1">
      <c r="A11" s="78" t="n"/>
      <c r="B11" s="80" t="n"/>
      <c r="C11" s="80" t="n"/>
      <c r="D11" s="83" t="n"/>
      <c r="F11" s="92" t="n"/>
      <c r="H11" s="92" t="n"/>
      <c r="J11" s="92" t="n"/>
    </row>
    <row r="12" ht="22" customHeight="1">
      <c r="A12" s="78" t="n"/>
      <c r="B12" s="80" t="n"/>
      <c r="C12" s="80" t="n"/>
      <c r="D12" s="83" t="n"/>
      <c r="F12" s="92" t="n"/>
      <c r="H12" s="92" t="n"/>
      <c r="J12" s="92" t="n"/>
    </row>
    <row r="13" ht="22" customHeight="1">
      <c r="A13" s="78" t="n"/>
      <c r="B13" s="80" t="n"/>
      <c r="C13" s="80" t="n"/>
      <c r="D13" s="83" t="n"/>
      <c r="F13" s="92" t="n"/>
      <c r="H13" s="92" t="n"/>
      <c r="J13" s="92" t="n"/>
    </row>
    <row r="14" ht="22" customHeight="1">
      <c r="A14" s="78" t="n"/>
      <c r="B14" s="80" t="n"/>
      <c r="C14" s="80" t="n"/>
      <c r="D14" s="83" t="n"/>
      <c r="F14" s="92" t="n"/>
      <c r="H14" s="92" t="n"/>
      <c r="J14" s="92" t="n"/>
    </row>
    <row r="15" ht="22" customHeight="1">
      <c r="A15" s="78" t="n"/>
      <c r="B15" s="80" t="n"/>
      <c r="C15" s="80" t="n"/>
      <c r="D15" s="83" t="n"/>
      <c r="F15" s="92" t="n"/>
      <c r="H15" s="92" t="n"/>
      <c r="J15" s="92" t="n"/>
    </row>
    <row r="16" ht="22" customHeight="1">
      <c r="A16" s="78" t="n"/>
      <c r="B16" s="80" t="n"/>
      <c r="C16" s="80" t="n"/>
      <c r="D16" s="83" t="n"/>
      <c r="F16" s="92" t="n"/>
      <c r="H16" s="92" t="n"/>
      <c r="J16" s="92" t="n"/>
    </row>
    <row r="17" ht="22" customHeight="1">
      <c r="A17" s="78" t="n"/>
      <c r="B17" s="80" t="n"/>
      <c r="C17" s="80" t="n"/>
      <c r="D17" s="83" t="n"/>
      <c r="F17" s="92" t="n"/>
      <c r="H17" s="92" t="n"/>
      <c r="J17" s="92" t="n"/>
    </row>
    <row r="18" ht="22" customHeight="1">
      <c r="A18" s="78" t="n"/>
      <c r="B18" s="80" t="n"/>
      <c r="C18" s="80" t="n"/>
      <c r="D18" s="83" t="n"/>
      <c r="F18" s="92" t="n"/>
      <c r="H18" s="92" t="n"/>
      <c r="J18" s="92" t="n"/>
    </row>
    <row r="19" ht="22" customHeight="1">
      <c r="A19" s="78" t="n"/>
      <c r="B19" s="80" t="n"/>
      <c r="C19" s="80" t="n"/>
      <c r="D19" s="83" t="n"/>
      <c r="F19" s="92" t="n"/>
      <c r="H19" s="92" t="n"/>
      <c r="J19" s="92" t="n"/>
    </row>
    <row r="20" ht="22" customHeight="1">
      <c r="A20" s="78" t="n"/>
      <c r="B20" s="80" t="n"/>
      <c r="C20" s="80" t="n"/>
      <c r="D20" s="83" t="n"/>
      <c r="F20" s="92" t="n"/>
      <c r="H20" s="92" t="n"/>
      <c r="J20" s="92" t="n"/>
    </row>
    <row r="21" ht="22" customHeight="1">
      <c r="A21" s="78" t="n"/>
      <c r="B21" s="80" t="n"/>
      <c r="C21" s="80" t="n"/>
      <c r="D21" s="83" t="n"/>
      <c r="F21" s="92" t="n"/>
      <c r="H21" s="92" t="n"/>
      <c r="J21" s="92" t="n"/>
    </row>
    <row r="22" ht="22" customHeight="1">
      <c r="A22" s="78" t="n"/>
      <c r="B22" s="80" t="n"/>
      <c r="C22" s="80" t="n"/>
      <c r="D22" s="83" t="n"/>
      <c r="F22" s="92" t="n"/>
      <c r="H22" s="92" t="n"/>
      <c r="J22" s="92" t="n"/>
    </row>
    <row r="23" ht="22" customHeight="1">
      <c r="A23" s="78" t="n"/>
      <c r="B23" s="80" t="n"/>
      <c r="C23" s="80" t="n"/>
      <c r="D23" s="83" t="n"/>
      <c r="F23" s="92" t="n"/>
      <c r="H23" s="92" t="n"/>
      <c r="J23" s="92" t="n"/>
    </row>
    <row r="24" ht="22" customHeight="1">
      <c r="A24" s="78" t="n"/>
      <c r="B24" s="80" t="n"/>
      <c r="C24" s="80" t="n"/>
      <c r="D24" s="83" t="n"/>
      <c r="F24" s="92" t="n"/>
      <c r="H24" s="92" t="n"/>
      <c r="J24" s="92" t="n"/>
    </row>
    <row r="25" ht="22" customHeight="1">
      <c r="A25" s="78" t="n"/>
      <c r="B25" s="80" t="n"/>
      <c r="C25" s="80" t="n"/>
      <c r="D25" s="83" t="n"/>
      <c r="F25" s="92" t="n"/>
      <c r="H25" s="92" t="n"/>
      <c r="J25" s="92" t="n"/>
    </row>
    <row r="26" ht="22" customHeight="1">
      <c r="A26" s="78" t="n"/>
      <c r="B26" s="80" t="n"/>
      <c r="C26" s="80" t="n"/>
      <c r="D26" s="83" t="n"/>
      <c r="F26" s="92" t="n"/>
      <c r="H26" s="92" t="n"/>
      <c r="J26" s="92" t="n"/>
    </row>
    <row r="27" ht="22" customHeight="1">
      <c r="A27" s="78" t="n"/>
      <c r="B27" s="80" t="n"/>
      <c r="C27" s="80" t="n"/>
      <c r="D27" s="83" t="n"/>
      <c r="F27" s="92" t="n"/>
      <c r="H27" s="92" t="n"/>
      <c r="J27" s="92" t="n"/>
    </row>
    <row r="28" ht="22" customHeight="1">
      <c r="A28" s="78" t="n"/>
      <c r="B28" s="80" t="n"/>
      <c r="C28" s="80" t="n"/>
      <c r="D28" s="83" t="n"/>
      <c r="F28" s="92" t="n"/>
      <c r="H28" s="92" t="n"/>
      <c r="J28" s="92" t="n"/>
    </row>
    <row r="29" ht="22" customHeight="1">
      <c r="A29" s="84" t="n"/>
      <c r="B29" s="86" t="n"/>
      <c r="C29" s="86" t="n"/>
      <c r="D29" s="89" t="n"/>
      <c r="F29" s="93" t="n"/>
      <c r="H29" s="93" t="n"/>
      <c r="J29" s="93" t="n"/>
    </row>
    <row r="30" ht="20" customHeight="1">
      <c r="A30" s="90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44" t="n"/>
      <c r="B1" s="45" t="n"/>
      <c r="C1" s="94" t="inlineStr">
        <is>
          <t>Revisões</t>
        </is>
      </c>
      <c r="D1" s="48">
        <f>"Rev. "&amp;'Leia-me'!$D$15&amp;"   ·   "&amp;'Leia-me'!$D$16</f>
        <v/>
      </c>
      <c r="E1" s="45" t="n"/>
    </row>
    <row r="2" ht="28" customHeight="1">
      <c r="A2" s="49" t="n"/>
      <c r="B2" s="50" t="n"/>
      <c r="C2" s="73" t="inlineStr">
        <is>
          <t>Objetivo: Registre cada alteração do modelo; a última linha alimenta Rev. e data do cabeçalho.</t>
        </is>
      </c>
      <c r="D2" s="51">
        <f>"Elaborado: "&amp;'Leia-me'!$D$13&amp;"   ·   Aprovado: "&amp;'Leia-me'!$D$14</f>
        <v/>
      </c>
      <c r="E2" s="50" t="n"/>
    </row>
    <row r="3" ht="26" customHeight="1">
      <c r="A3" s="74" t="inlineStr">
        <is>
          <t>Rev</t>
        </is>
      </c>
      <c r="B3" s="75" t="inlineStr">
        <is>
          <t>Data</t>
        </is>
      </c>
      <c r="C3" s="75" t="inlineStr">
        <is>
          <t>Descrição da alteração</t>
        </is>
      </c>
      <c r="D3" s="75" t="inlineStr">
        <is>
          <t>Elaborado por</t>
        </is>
      </c>
      <c r="E3" s="76" t="inlineStr">
        <is>
          <t>Aprovado por</t>
        </is>
      </c>
    </row>
    <row r="4" hidden="1">
      <c r="A4" s="77" t="inlineStr">
        <is>
          <t>revisao</t>
        </is>
      </c>
      <c r="B4" s="77" t="inlineStr">
        <is>
          <t>data_revisao</t>
        </is>
      </c>
      <c r="C4" s="77" t="inlineStr">
        <is>
          <t>descricao_alteracao</t>
        </is>
      </c>
      <c r="D4" s="77" t="inlineStr">
        <is>
          <t>elaborado_por</t>
        </is>
      </c>
      <c r="E4" s="77" t="inlineStr">
        <is>
          <t>aprovado_por</t>
        </is>
      </c>
    </row>
    <row r="5" ht="22" customHeight="1">
      <c r="A5" s="95" t="inlineStr">
        <is>
          <t>00</t>
        </is>
      </c>
      <c r="B5" s="79" t="n">
        <v>46325</v>
      </c>
      <c r="C5" s="82" t="inlineStr">
        <is>
          <t>Emissão inicial</t>
        </is>
      </c>
      <c r="D5" s="80" t="n"/>
      <c r="E5" s="83" t="n"/>
    </row>
    <row r="6" ht="22" customHeight="1">
      <c r="A6" s="95" t="n"/>
      <c r="B6" s="79" t="n"/>
      <c r="C6" s="82" t="n"/>
      <c r="D6" s="80" t="n"/>
      <c r="E6" s="83" t="n"/>
    </row>
    <row r="7" ht="22" customHeight="1">
      <c r="A7" s="95" t="n"/>
      <c r="B7" s="79" t="n"/>
      <c r="C7" s="82" t="n"/>
      <c r="D7" s="80" t="n"/>
      <c r="E7" s="83" t="n"/>
    </row>
    <row r="8" ht="22" customHeight="1">
      <c r="A8" s="95" t="n"/>
      <c r="B8" s="79" t="n"/>
      <c r="C8" s="82" t="n"/>
      <c r="D8" s="80" t="n"/>
      <c r="E8" s="83" t="n"/>
    </row>
    <row r="9" ht="22" customHeight="1">
      <c r="A9" s="95" t="n"/>
      <c r="B9" s="79" t="n"/>
      <c r="C9" s="82" t="n"/>
      <c r="D9" s="80" t="n"/>
      <c r="E9" s="83" t="n"/>
    </row>
    <row r="10" ht="22" customHeight="1">
      <c r="A10" s="95" t="n"/>
      <c r="B10" s="79" t="n"/>
      <c r="C10" s="82" t="n"/>
      <c r="D10" s="80" t="n"/>
      <c r="E10" s="83" t="n"/>
    </row>
    <row r="11" ht="22" customHeight="1">
      <c r="A11" s="95" t="n"/>
      <c r="B11" s="79" t="n"/>
      <c r="C11" s="82" t="n"/>
      <c r="D11" s="80" t="n"/>
      <c r="E11" s="83" t="n"/>
    </row>
    <row r="12" ht="22" customHeight="1">
      <c r="A12" s="95" t="n"/>
      <c r="B12" s="79" t="n"/>
      <c r="C12" s="82" t="n"/>
      <c r="D12" s="80" t="n"/>
      <c r="E12" s="83" t="n"/>
    </row>
    <row r="13" ht="22" customHeight="1">
      <c r="A13" s="95" t="n"/>
      <c r="B13" s="79" t="n"/>
      <c r="C13" s="82" t="n"/>
      <c r="D13" s="80" t="n"/>
      <c r="E13" s="83" t="n"/>
    </row>
    <row r="14" ht="22" customHeight="1">
      <c r="A14" s="95" t="n"/>
      <c r="B14" s="79" t="n"/>
      <c r="C14" s="82" t="n"/>
      <c r="D14" s="80" t="n"/>
      <c r="E14" s="83" t="n"/>
    </row>
    <row r="15" ht="22" customHeight="1">
      <c r="A15" s="95" t="n"/>
      <c r="B15" s="79" t="n"/>
      <c r="C15" s="82" t="n"/>
      <c r="D15" s="80" t="n"/>
      <c r="E15" s="83" t="n"/>
    </row>
    <row r="16" ht="22" customHeight="1">
      <c r="A16" s="95" t="n"/>
      <c r="B16" s="79" t="n"/>
      <c r="C16" s="82" t="n"/>
      <c r="D16" s="80" t="n"/>
      <c r="E16" s="83" t="n"/>
    </row>
    <row r="17" ht="22" customHeight="1">
      <c r="A17" s="95" t="n"/>
      <c r="B17" s="79" t="n"/>
      <c r="C17" s="82" t="n"/>
      <c r="D17" s="80" t="n"/>
      <c r="E17" s="83" t="n"/>
    </row>
    <row r="18" ht="22" customHeight="1">
      <c r="A18" s="95" t="n"/>
      <c r="B18" s="79" t="n"/>
      <c r="C18" s="82" t="n"/>
      <c r="D18" s="80" t="n"/>
      <c r="E18" s="83" t="n"/>
    </row>
    <row r="19" ht="22" customHeight="1">
      <c r="A19" s="95" t="n"/>
      <c r="B19" s="79" t="n"/>
      <c r="C19" s="82" t="n"/>
      <c r="D19" s="80" t="n"/>
      <c r="E19" s="83" t="n"/>
    </row>
    <row r="20" ht="22" customHeight="1">
      <c r="A20" s="95" t="n"/>
      <c r="B20" s="79" t="n"/>
      <c r="C20" s="82" t="n"/>
      <c r="D20" s="80" t="n"/>
      <c r="E20" s="83" t="n"/>
    </row>
    <row r="21" ht="22" customHeight="1">
      <c r="A21" s="95" t="n"/>
      <c r="B21" s="79" t="n"/>
      <c r="C21" s="82" t="n"/>
      <c r="D21" s="80" t="n"/>
      <c r="E21" s="83" t="n"/>
    </row>
    <row r="22" ht="22" customHeight="1">
      <c r="A22" s="95" t="n"/>
      <c r="B22" s="79" t="n"/>
      <c r="C22" s="82" t="n"/>
      <c r="D22" s="80" t="n"/>
      <c r="E22" s="83" t="n"/>
    </row>
    <row r="23" ht="22" customHeight="1">
      <c r="A23" s="95" t="n"/>
      <c r="B23" s="79" t="n"/>
      <c r="C23" s="82" t="n"/>
      <c r="D23" s="80" t="n"/>
      <c r="E23" s="83" t="n"/>
    </row>
    <row r="24" ht="22" customHeight="1">
      <c r="A24" s="95" t="n"/>
      <c r="B24" s="79" t="n"/>
      <c r="C24" s="82" t="n"/>
      <c r="D24" s="80" t="n"/>
      <c r="E24" s="83" t="n"/>
    </row>
    <row r="25" ht="22" customHeight="1">
      <c r="A25" s="95" t="n"/>
      <c r="B25" s="79" t="n"/>
      <c r="C25" s="82" t="n"/>
      <c r="D25" s="80" t="n"/>
      <c r="E25" s="83" t="n"/>
    </row>
    <row r="26" ht="22" customHeight="1">
      <c r="A26" s="95" t="n"/>
      <c r="B26" s="79" t="n"/>
      <c r="C26" s="82" t="n"/>
      <c r="D26" s="80" t="n"/>
      <c r="E26" s="83" t="n"/>
    </row>
    <row r="27" ht="22" customHeight="1">
      <c r="A27" s="95" t="n"/>
      <c r="B27" s="79" t="n"/>
      <c r="C27" s="82" t="n"/>
      <c r="D27" s="80" t="n"/>
      <c r="E27" s="83" t="n"/>
    </row>
    <row r="28" ht="22" customHeight="1">
      <c r="A28" s="95" t="n"/>
      <c r="B28" s="79" t="n"/>
      <c r="C28" s="82" t="n"/>
      <c r="D28" s="80" t="n"/>
      <c r="E28" s="83" t="n"/>
    </row>
    <row r="29" ht="22" customHeight="1">
      <c r="A29" s="96" t="n"/>
      <c r="B29" s="85" t="n"/>
      <c r="C29" s="88" t="n"/>
      <c r="D29" s="86" t="n"/>
      <c r="E29" s="89" t="n"/>
    </row>
    <row r="30" ht="20" customHeight="1">
      <c r="A30" s="90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2026-11-01T04:00:13Z</dcterms:created>
  <dcterms:modified xmlns:dcterms="http://purl.org/dc/terms/" xmlns:xsi="http://www.w3.org/2001/XMLSchema-instance" xsi:type="dcterms:W3CDTF">2026-11-01T04:00:13Z</dcterms:modified>
</cp:coreProperties>
</file>